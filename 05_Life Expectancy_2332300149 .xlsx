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hidePivotFieldList="1"/>
  <mc:AlternateContent xmlns:mc="http://schemas.openxmlformats.org/markup-compatibility/2006">
    <mc:Choice Requires="x15">
      <x15ac:absPath xmlns:x15ac="http://schemas.microsoft.com/office/spreadsheetml/2010/11/ac" url="/Users/macos/Downloads/"/>
    </mc:Choice>
  </mc:AlternateContent>
  <xr:revisionPtr revIDLastSave="0" documentId="8_{CE450B93-093E-A945-BA41-98447D7ECB96}" xr6:coauthVersionLast="47" xr6:coauthVersionMax="47" xr10:uidLastSave="{00000000-0000-0000-0000-000000000000}"/>
  <bookViews>
    <workbookView xWindow="3720" yWindow="2580" windowWidth="25000" windowHeight="15420" activeTab="1" xr2:uid="{CEE66562-A4F8-4085-ADB6-40EC2D8EF87B}"/>
  </bookViews>
  <sheets>
    <sheet name="Life-Expectancy-Data-Averaged" sheetId="1" r:id="rId1"/>
    <sheet name="Sheet1" sheetId="2" r:id="rId2"/>
  </sheets>
  <definedNames>
    <definedName name="_xlnm._FilterDatabase" localSheetId="0" hidden="1">'Life-Expectancy-Data-Averaged'!$A$1:$F$177</definedName>
    <definedName name="solver_eng" localSheetId="0" hidden="1">1</definedName>
    <definedName name="solver_lin" localSheetId="0" hidden="1">2</definedName>
    <definedName name="solver_neg" localSheetId="0" hidden="1">1</definedName>
    <definedName name="solver_num" localSheetId="0" hidden="1">0</definedName>
    <definedName name="solver_opt" localSheetId="0" hidden="1">'Life-Expectancy-Data-Averaged'!$P$12</definedName>
    <definedName name="solver_typ" localSheetId="0" hidden="1">1</definedName>
    <definedName name="solver_val" localSheetId="0" hidden="1">0</definedName>
    <definedName name="solver_ver" localSheetId="0" hidden="1">2</definedName>
  </definedNames>
  <calcPr calcId="191029"/>
  <pivotCaches>
    <pivotCache cacheId="3"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<sst xmlns="http://schemas.openxmlformats.org/spreadsheetml/2006/main" count="437" uniqueCount="215">
  <si>
    <t>Country</t>
  </si>
  <si>
    <t>Region</t>
  </si>
  <si>
    <t>Infant_deaths</t>
  </si>
  <si>
    <t>Under_five_deaths</t>
  </si>
  <si>
    <t>Adult_mortality</t>
  </si>
  <si>
    <t>Life_expectancy</t>
  </si>
  <si>
    <t>Afghanistan</t>
  </si>
  <si>
    <t>Asia</t>
  </si>
  <si>
    <t>Albania</t>
  </si>
  <si>
    <t>Rest of Europe</t>
  </si>
  <si>
    <t>Algeria</t>
  </si>
  <si>
    <t>Africa</t>
  </si>
  <si>
    <t>Angola</t>
  </si>
  <si>
    <t>Antigua and Barbuda</t>
  </si>
  <si>
    <t>Central America and Caribbean</t>
  </si>
  <si>
    <t>Argentina</t>
  </si>
  <si>
    <t>South America</t>
  </si>
  <si>
    <t>Armenia</t>
  </si>
  <si>
    <t>Australia</t>
  </si>
  <si>
    <t>Oceania</t>
  </si>
  <si>
    <t>Austria</t>
  </si>
  <si>
    <t>European Union</t>
  </si>
  <si>
    <t>Azerbaijan</t>
  </si>
  <si>
    <t>Bahamas, The</t>
  </si>
  <si>
    <t>Bahrain</t>
  </si>
  <si>
    <t>Middle East</t>
  </si>
  <si>
    <t>Barbados</t>
  </si>
  <si>
    <t>Belarus</t>
  </si>
  <si>
    <t>Belgium</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</si>
  <si>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</si>
  <si>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</si>
  <si>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</si>
  <si>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</si>
  <si>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</si>
  <si>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</si>
  <si>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</si>
  <si>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</si>
  <si>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</si>
  <si>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</si>
  <si>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</si>
  <si>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</si>
  <si>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</si>
  <si>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</si>
  <si>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</si>
  <si>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North America</t>
  </si>
  <si>
    <t>Central African Republic</t>
  </si>
  <si>
    <t>Chad</t>
  </si>
  <si>
    <t>Chile</t>
  </si>
  <si>
    <t>China</t>
  </si>
  <si>
    <t>Colombia</t>
  </si>
  <si>
    <t>Comoros</t>
  </si>
  <si>
    <t>Congo, Dem. Rep.</t>
  </si>
  <si>
    <t>Congo, Rep.</t>
  </si>
  <si>
    <t>Costa Rica</t>
  </si>
  <si>
    <t>Cote d'Ivoire</t>
  </si>
  <si>
    <t>Croatia</t>
  </si>
  <si>
    <t>Cuba</t>
  </si>
  <si>
    <t>Cyprus</t>
  </si>
  <si>
    <t>Czechia</t>
  </si>
  <si>
    <t>Denmark</t>
  </si>
  <si>
    <t>Djibouti</t>
  </si>
  <si>
    <t>Dominican Republic</t>
  </si>
  <si>
    <t>Ecuador</t>
  </si>
  <si>
    <t>Egypt, Arab Rep.</t>
  </si>
  <si>
    <t>El Salvador</t>
  </si>
  <si>
    <t>Equatorial Guinea</t>
  </si>
  <si>
    <t>Eritrea</t>
  </si>
  <si>
    <t>Estonia</t>
  </si>
  <si>
    <t>Eswatini</t>
  </si>
  <si>
    <t>Ethiopia</t>
  </si>
  <si>
    <t>Fiji</t>
  </si>
  <si>
    <t>Finland</t>
  </si>
  <si>
    <t>France</t>
  </si>
  <si>
    <t>Gabon</t>
  </si>
  <si>
    <t>Gambia, The</t>
  </si>
  <si>
    <t>Georgia</t>
  </si>
  <si>
    <t>Germany</t>
  </si>
  <si>
    <t>Greece</t>
  </si>
  <si>
    <t>Grenada</t>
  </si>
  <si>
    <t>Guatemala</t>
  </si>
  <si>
    <t>Guinea</t>
  </si>
  <si>
    <t>Guinea-Bissau</t>
  </si>
  <si>
    <t>Guyana</t>
  </si>
  <si>
    <t>Haiti</t>
  </si>
  <si>
    <t>Honduras</t>
  </si>
  <si>
    <t>Hungary</t>
  </si>
  <si>
    <t>Iceland</t>
  </si>
  <si>
    <t>India</t>
  </si>
  <si>
    <t>Indonesia</t>
  </si>
  <si>
    <t>Iran, Islamic Rep.</t>
  </si>
  <si>
    <t>Ireland</t>
  </si>
  <si>
    <t>Israel</t>
  </si>
  <si>
    <t>Italy</t>
  </si>
  <si>
    <t>Jamaica</t>
  </si>
  <si>
    <t>Japan</t>
  </si>
  <si>
    <t>Jordan</t>
  </si>
  <si>
    <t>Kazakhstan</t>
  </si>
  <si>
    <t>Kenya</t>
  </si>
  <si>
    <t>Kiribati</t>
  </si>
  <si>
    <t>Kuwait</t>
  </si>
  <si>
    <t>Kyrgyz Republic</t>
  </si>
  <si>
    <t>Lao PDR</t>
  </si>
  <si>
    <t>Latvia</t>
  </si>
  <si>
    <t>Lebanon</t>
  </si>
  <si>
    <t>Lesotho</t>
  </si>
  <si>
    <t>Liberia</t>
  </si>
  <si>
    <t>Libya</t>
  </si>
  <si>
    <t>Lithuania</t>
  </si>
  <si>
    <t>Luxembourg</t>
  </si>
  <si>
    <t>Madagascar</t>
  </si>
  <si>
    <t>Malawi</t>
  </si>
  <si>
    <t>Malaysia</t>
  </si>
  <si>
    <t>Maldives</t>
  </si>
  <si>
    <t>Mali</t>
  </si>
  <si>
    <t>Malta</t>
  </si>
  <si>
    <t>Mauritania</t>
  </si>
  <si>
    <t>Mauritius</t>
  </si>
  <si>
    <t>Mexico</t>
  </si>
  <si>
    <t>Micronesia, Fed. Sts.</t>
  </si>
  <si>
    <t>Moldova</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</si>
  <si>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</si>
  <si>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</si>
  <si>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</si>
  <si>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</si>
  <si>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</si>
  <si>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</si>
  <si>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</si>
  <si>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</si>
  <si>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</si>
  <si>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</si>
  <si>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</si>
  <si>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</si>
  <si>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</si>
  <si>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</si>
  <si>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</si>
  <si>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</si>
  <si>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</si>
  <si>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</si>
  <si>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</si>
  <si>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</si>
  <si>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</si>
  <si>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</si>
  <si>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</si>
  <si>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Qatar</t>
  </si>
  <si>
    <t>Romania</t>
  </si>
  <si>
    <t>Russian Federation</t>
  </si>
  <si>
    <t>Rwanda</t>
  </si>
  <si>
    <t>Samoa</t>
  </si>
  <si>
    <t>Sao Tome and Principe</t>
  </si>
  <si>
    <t>Saudi Arabia</t>
  </si>
  <si>
    <t>Senegal</t>
  </si>
  <si>
    <t>Serbia</t>
  </si>
  <si>
    <t>Seychelles</t>
  </si>
  <si>
    <t>Sierra Leone</t>
  </si>
  <si>
    <t>Singapore</t>
  </si>
  <si>
    <t>Slovak Republic</t>
  </si>
  <si>
    <t>Slovenia</t>
  </si>
  <si>
    <t>Solomon Islands</t>
  </si>
  <si>
    <t>Somalia</t>
  </si>
  <si>
    <t>South Africa</t>
  </si>
  <si>
    <t>Spain</t>
  </si>
  <si>
    <t>Sri Lanka</t>
  </si>
  <si>
    <t>St. Lucia</t>
  </si>
  <si>
    <t>St. Vincent and the Grenadines</t>
  </si>
  <si>
    <t>Suriname</t>
  </si>
  <si>
    <t>Sweden</t>
  </si>
  <si>
    <t>Switzerland</t>
  </si>
  <si>
    <t>Syrian Arab Republic</t>
  </si>
  <si>
    <t>Tajikistan</t>
  </si>
  <si>
    <t>Tanzania</t>
  </si>
  <si>
    <t>Thailand</t>
  </si>
  <si>
    <t>Timor-Leste</t>
  </si>
  <si>
    <t>Togo</t>
  </si>
  <si>
    <t>Tonga</t>
  </si>
  <si>
    <t>Trinidad and Tobago</t>
  </si>
  <si>
    <t>Tunisia</t>
  </si>
  <si>
    <t>Turkiye</t>
  </si>
  <si>
    <t>Turkmenistan</t>
  </si>
  <si>
    <t>Uganda</t>
  </si>
  <si>
    <t>Ukraine</t>
  </si>
  <si>
    <t>United Arab Emirates</t>
  </si>
  <si>
    <t>United Kingdom</t>
  </si>
  <si>
    <t>United States</t>
  </si>
  <si>
    <t>Uruguay</t>
  </si>
  <si>
    <t>Uzbekistan</t>
  </si>
  <si>
    <t>Vanuatu</t>
  </si>
  <si>
    <t>Venezuela, RB</t>
  </si>
  <si>
    <t>Vietnam</t>
  </si>
  <si>
    <t>Yemen, Rep.</t>
  </si>
  <si>
    <t>Zambia</t>
  </si>
  <si>
    <t>Zimbabwe</t>
  </si>
  <si>
    <t>Mean</t>
  </si>
  <si>
    <t>Standard Error</t>
  </si>
  <si>
    <t>Median</t>
  </si>
  <si>
    <t>Mode</t>
  </si>
  <si>
    <t>Standard Deviation</t>
  </si>
  <si>
    <t>Sample Variance</t>
  </si>
  <si>
    <t>Kurtosis</t>
  </si>
  <si>
    <t>Skewness</t>
  </si>
  <si>
    <t>Range</t>
  </si>
  <si>
    <t>Minimum</t>
  </si>
  <si>
    <t>Maximum</t>
  </si>
  <si>
    <t>Sum</t>
  </si>
  <si>
    <t>Count</t>
  </si>
  <si>
    <t>Confidence Level(95,0%)</t>
  </si>
  <si>
    <t>Row Labels</t>
  </si>
  <si>
    <t>Grand Total</t>
  </si>
  <si>
    <t>Average of Life_expectancy</t>
  </si>
  <si>
    <t>Average of Infant_deaths</t>
  </si>
  <si>
    <t>Average of Adult_mortality</t>
  </si>
  <si>
    <t>Insight 1: Regional Health Inequality</t>
  </si>
  <si>
    <t>The PivotTable shows that regions with higher average life expectancy tend to have significantly lower infant and adult mortality rates. In contrast, regions with lower life expectancy exhibit much higher mortality levels, highlighting strong regional disparities in healthcare access and living conditions.</t>
  </si>
  <si>
    <t>Insight 2: Mortality as a Key Driver</t>
  </si>
  <si>
    <t>Regions with elevated infant and adult mortality rates consistently show lower life expectancy averages. This suggests that mortality indicators are a major contributing factor to regional differences in overall population health.</t>
  </si>
  <si>
    <t>PivotTables were used to calculate average life expectancy, infant mortality, and adult mortality by region. This approach enables meaningful regional comparisons and reveals clear disparities in health outcomes across different parts of the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</si>
</sst>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sz val="13.5"/>
      <color rgb="FF000000"/>
      <name val="Aptos Narrow"/>
      <family val="2"/>
      <scheme val="minor"/>
    </font>
    <font>
      <sz val="11"/>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wrapText="1"/>
    </xf>
    <xf numFmtId="2" fontId="0" fillId="0" borderId="0" xfId="0" applyNumberFormat="1"/>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Continuous"/>
    </xf>
    <xf numFmtId="171" fontId="0" fillId="0" borderId="0" xfId="0" applyNumberFormat="1" applyFill="1" applyBorder="1" applyAlignment="1"/>
    <xf numFmtId="171" fontId="0" fillId="0" borderId="10" xfId="0" applyNumberFormat="1" applyFill="1" applyBorder="1" applyAlignment="1"/>
    <xf numFmtId="1" fontId="0" fillId="0" borderId="0" xfId="0" applyNumberFormat="1" applyFill="1" applyBorder="1" applyAlignment="1"/>
    <xf numFmtId="1" fontId="0" fillId="0" borderId="10" xfId="0" applyNumberFormat="1" applyFill="1" applyBorder="1" applyAlignment="1"/>
    <xf numFmtId="0" fontId="18" fillId="0" borderId="0" xfId="0" applyFont="1" applyFill="1" applyBorder="1" applyAlignment="1">
      <alignment horizontal="centerContinuous"/>
    </xf>
    <xf numFmtId="0" fontId="0" fillId="0" borderId="0" xfId="0" applyBorder="1"/>
    <xf numFmtId="0" fontId="18" fillId="0" borderId="0" xfId="0" applyFont="1" applyFill="1" applyBorder="1" applyAlignment="1">
      <alignment horizontal="center"/>
    </xf>
    <xf numFmtId="0" fontId="0" fillId="0" borderId="0" xfId="0" pivotButton="1"/>
    <xf numFmtId="0" fontId="0" fillId="0" borderId="0" xfId="0" applyAlignment="1">
      <alignment horizontal="left"/>
    </xf>
    <xf numFmtId="1" fontId="0" fillId="0" borderId="0" xfId="0" applyNumberFormat="1"/>
    <xf numFmtId="0" fontId="0" fillId="0" borderId="0" xfId="0" applyBorder="1" applyAlignment="1">
      <alignment wrapText="1"/>
    </xf>
    <xf numFmtId="0" fontId="0" fillId="0" borderId="0" xfId="0" applyAlignment="1"/>
    <xf numFmtId="0" fontId="19" fillId="0" borderId="0" xfId="0" applyFont="1"/>
    <xf numFmtId="0" fontId="20" fillId="0" borderId="0" xfId="0" applyFont="1"/>
    <xf numFmtId="0" fontId="20" fillId="0" borderId="0" xfId="0" applyFont="1" applyAlignment="1">
      <alignment horizontal="center"/>
    </xf>
    <xf numFmtId="0" fontId="0" fillId="0" borderId="0" xfId="0" applyAlignment="1">
      <alignment horizontal="center" wrapText="1"/>
    </xf>
    <xf numFmtId="1" fontId="0" fillId="0" borderId="0" xfId="0" applyNumberFormat="1" applyFill="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[05_Life Expectancy_2332300149 .xlsx]Sheet1!PivotTable1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07412505313465E-2"/>
          <c:y val="6.3148813613063473E-2"/>
          <c:w val="0.67833245679661636"/>
          <c:h val="0.76340957380327457"/>
        </c:manualLayout>
      </c:layout>
      <c:barChart>
        <c:barDir val="col"/>
        <c:grouping val="clustered"/>
        <c:varyColors val="0"/>
        <c:ser>
          <c:idx val="0"/>
          <c:order val="0"/>
          <c:tx>
            <c:strRef>
              <c:f>Sheet1!$B$3</c:f>
              <c:strCache>
                <c:ptCount val="1"/>
                <c:pt idx="0">
                  <c:v>Average of Adult_mortality</c:v>
                </c:pt>
              </c:strCache>
            </c:strRef>
          </c:tx>
          <c:spPr>
            <a:solidFill>
              <a:schemeClr val="accent1"/>
            </a:solidFill>
            <a:ln>
              <a:noFill/>
            </a:ln>
            <a:effectLst/>
          </c:spPr>
          <c:invertIfNegative val="0"/>
          <c:cat>
            <c:strRef>
              <c:f>Sheet1!$A$4:$A$13</c:f>
              <c:strCache>
                <c:ptCount val="9"/>
                <c:pt idx="0">
                  <c:v>Africa</c:v>
                </c:pt>
                <c:pt idx="1">
                  <c:v>Asia</c:v>
                </c:pt>
                <c:pt idx="2">
                  <c:v>Central America and Caribbean</c:v>
                </c:pt>
                <c:pt idx="3">
                  <c:v>European Union</c:v>
                </c:pt>
                <c:pt idx="4">
                  <c:v>Middle East</c:v>
                </c:pt>
                <c:pt idx="5">
                  <c:v>North America</c:v>
                </c:pt>
                <c:pt idx="6">
                  <c:v>Oceania</c:v>
                </c:pt>
                <c:pt idx="7">
                  <c:v>Rest of Europe</c:v>
                </c:pt>
                <c:pt idx="8">
                  <c:v>South America</c:v>
                </c:pt>
              </c:strCache>
            </c:strRef>
          </c:cat>
          <c:val>
            <c:numRef>
              <c:f>Sheet1!$B$4:$B$13</c:f>
              <c:numCache>
                <c:formatCode>0</c:formatCode>
                <c:ptCount val="9"/>
                <c:pt idx="0">
                  <c:v>320.03223312499989</c:v>
                </c:pt>
                <c:pt idx="1">
                  <c:v>172.05339302884616</c:v>
                </c:pt>
                <c:pt idx="2">
                  <c:v>163.58116940789478</c:v>
                </c:pt>
                <c:pt idx="3">
                  <c:v>104.39539236111113</c:v>
                </c:pt>
                <c:pt idx="4">
                  <c:v>106.39039903846148</c:v>
                </c:pt>
                <c:pt idx="5">
                  <c:v>100.69384375</c:v>
                </c:pt>
                <c:pt idx="6">
                  <c:v>162.88680113636354</c:v>
                </c:pt>
                <c:pt idx="7">
                  <c:v>138.58285624999994</c:v>
                </c:pt>
                <c:pt idx="8">
                  <c:v>155.27532552083335</c:v>
                </c:pt>
              </c:numCache>
            </c:numRef>
          </c:val>
          <c:extLst>
            <c:ext xmlns:c16="http://schemas.microsoft.com/office/drawing/2014/chart" uri="{C3380CC4-5D6E-409C-BE32-E72D297353CC}">
              <c16:uniqueId val="{00000000-1FE6-C94A-8DAC-BAC1394E96F4}"/>
            </c:ext>
          </c:extLst>
        </c:ser>
        <c:ser>
          <c:idx val="1"/>
          <c:order val="1"/>
          <c:tx>
            <c:strRef>
              <c:f>Sheet1!$C$3</c:f>
              <c:strCache>
                <c:ptCount val="1"/>
                <c:pt idx="0">
                  <c:v>Average of Infant_deaths</c:v>
                </c:pt>
              </c:strCache>
            </c:strRef>
          </c:tx>
          <c:spPr>
            <a:solidFill>
              <a:schemeClr val="accent2"/>
            </a:solidFill>
            <a:ln>
              <a:noFill/>
            </a:ln>
            <a:effectLst/>
          </c:spPr>
          <c:invertIfNegative val="0"/>
          <c:cat>
            <c:strRef>
              <c:f>Sheet1!$A$4:$A$13</c:f>
              <c:strCache>
                <c:ptCount val="9"/>
                <c:pt idx="0">
                  <c:v>Africa</c:v>
                </c:pt>
                <c:pt idx="1">
                  <c:v>Asia</c:v>
                </c:pt>
                <c:pt idx="2">
                  <c:v>Central America and Caribbean</c:v>
                </c:pt>
                <c:pt idx="3">
                  <c:v>European Union</c:v>
                </c:pt>
                <c:pt idx="4">
                  <c:v>Middle East</c:v>
                </c:pt>
                <c:pt idx="5">
                  <c:v>North America</c:v>
                </c:pt>
                <c:pt idx="6">
                  <c:v>Oceania</c:v>
                </c:pt>
                <c:pt idx="7">
                  <c:v>Rest of Europe</c:v>
                </c:pt>
                <c:pt idx="8">
                  <c:v>South America</c:v>
                </c:pt>
              </c:strCache>
            </c:strRef>
          </c:cat>
          <c:val>
            <c:numRef>
              <c:f>Sheet1!$C$4:$C$13</c:f>
              <c:numCache>
                <c:formatCode>0</c:formatCode>
                <c:ptCount val="9"/>
                <c:pt idx="0">
                  <c:v>60.795000000000009</c:v>
                </c:pt>
                <c:pt idx="1">
                  <c:v>32.056730769230775</c:v>
                </c:pt>
                <c:pt idx="2">
                  <c:v>20.965460526315784</c:v>
                </c:pt>
                <c:pt idx="3">
                  <c:v>4.8722222222222218</c:v>
                </c:pt>
                <c:pt idx="4">
                  <c:v>15.577884615384617</c:v>
                </c:pt>
                <c:pt idx="5">
                  <c:v>9.9249999999999989</c:v>
                </c:pt>
                <c:pt idx="6">
                  <c:v>26.305113636363625</c:v>
                </c:pt>
                <c:pt idx="7">
                  <c:v>9.6279166666666658</c:v>
                </c:pt>
                <c:pt idx="8">
                  <c:v>19.953645833333329</c:v>
                </c:pt>
              </c:numCache>
            </c:numRef>
          </c:val>
          <c:extLst>
            <c:ext xmlns:c16="http://schemas.microsoft.com/office/drawing/2014/chart" uri="{C3380CC4-5D6E-409C-BE32-E72D297353CC}">
              <c16:uniqueId val="{00000001-1FE6-C94A-8DAC-BAC1394E96F4}"/>
            </c:ext>
          </c:extLst>
        </c:ser>
        <c:ser>
          <c:idx val="2"/>
          <c:order val="2"/>
          <c:tx>
            <c:strRef>
              <c:f>Sheet1!$D$3</c:f>
              <c:strCache>
                <c:ptCount val="1"/>
                <c:pt idx="0">
                  <c:v>Average of Life_expectancy</c:v>
                </c:pt>
              </c:strCache>
            </c:strRef>
          </c:tx>
          <c:spPr>
            <a:solidFill>
              <a:schemeClr val="accent3"/>
            </a:solidFill>
            <a:ln>
              <a:noFill/>
            </a:ln>
            <a:effectLst/>
          </c:spPr>
          <c:invertIfNegative val="0"/>
          <c:cat>
            <c:strRef>
              <c:f>Sheet1!$A$4:$A$13</c:f>
              <c:strCache>
                <c:ptCount val="9"/>
                <c:pt idx="0">
                  <c:v>Africa</c:v>
                </c:pt>
                <c:pt idx="1">
                  <c:v>Asia</c:v>
                </c:pt>
                <c:pt idx="2">
                  <c:v>Central America and Caribbean</c:v>
                </c:pt>
                <c:pt idx="3">
                  <c:v>European Union</c:v>
                </c:pt>
                <c:pt idx="4">
                  <c:v>Middle East</c:v>
                </c:pt>
                <c:pt idx="5">
                  <c:v>North America</c:v>
                </c:pt>
                <c:pt idx="6">
                  <c:v>Oceania</c:v>
                </c:pt>
                <c:pt idx="7">
                  <c:v>Rest of Europe</c:v>
                </c:pt>
                <c:pt idx="8">
                  <c:v>South America</c:v>
                </c:pt>
              </c:strCache>
            </c:strRef>
          </c:cat>
          <c:val>
            <c:numRef>
              <c:f>Sheet1!$D$4:$D$13</c:f>
              <c:numCache>
                <c:formatCode>0</c:formatCode>
                <c:ptCount val="9"/>
                <c:pt idx="0">
                  <c:v>57.80749999999999</c:v>
                </c:pt>
                <c:pt idx="1">
                  <c:v>69.482932692307685</c:v>
                </c:pt>
                <c:pt idx="2">
                  <c:v>72.437499999999986</c:v>
                </c:pt>
                <c:pt idx="3">
                  <c:v>77.715046296296279</c:v>
                </c:pt>
                <c:pt idx="4">
                  <c:v>74.375000000000014</c:v>
                </c:pt>
                <c:pt idx="5">
                  <c:v>77.841666666666669</c:v>
                </c:pt>
                <c:pt idx="6">
                  <c:v>69.517613636363635</c:v>
                </c:pt>
                <c:pt idx="7">
                  <c:v>74.525416666666658</c:v>
                </c:pt>
                <c:pt idx="8">
                  <c:v>72.78072916666666</c:v>
                </c:pt>
              </c:numCache>
            </c:numRef>
          </c:val>
          <c:extLst>
            <c:ext xmlns:c16="http://schemas.microsoft.com/office/drawing/2014/chart" uri="{C3380CC4-5D6E-409C-BE32-E72D297353CC}">
              <c16:uniqueId val="{00000002-1FE6-C94A-8DAC-BAC1394E96F4}"/>
            </c:ext>
          </c:extLst>
        </c:ser>
        <c:dLbls>
          <c:showLegendKey val="0"/>
          <c:showVal val="0"/>
          <c:showCatName val="0"/>
          <c:showSerName val="0"/>
          <c:showPercent val="0"/>
          <c:showBubbleSize val="0"/>
        </c:dLbls>
        <c:gapWidth val="219"/>
        <c:overlap val="-27"/>
        <c:axId val="994081200"/>
        <c:axId val="994082912"/>
      </c:barChart>
      <c:catAx>
        <c:axId val="994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994082912"/>
        <c:crosses val="autoZero"/>
        <c:auto val="1"/>
        <c:lblAlgn val="ctr"/>
        <c:lblOffset val="100"/>
        <c:noMultiLvlLbl val="0"/>
      </c:catAx>
      <c:valAx>
        <c:axId val="994082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99408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19050</xdr:colOff>
      <xdr:row>2</xdr:row>
      <xdr:rowOff>12700</xdr:rowOff>
    </xdr:from>
    <xdr:to>
      <xdr:col>14</xdr:col>
      <xdr:colOff>0</xdr:colOff>
      <xdr:row>21</xdr:row>
      <xdr:rowOff>177800</xdr:rowOff>
    </xdr:to>
    <xdr:graphicFrame macro="">
      <xdr:nvGraphicFramePr>
        <xdr:cNvPr id="2" name="Chart 1">
          <a:extLst>
            <a:ext uri="{FF2B5EF4-FFF2-40B4-BE49-F238E27FC236}">
              <a16:creationId xmlns:a16="http://schemas.microsoft.com/office/drawing/2014/main" id="{FEC8B8C8-AB8E-FD6B-DC70-11CCC62E4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OS" refreshedDate="46050.67411284722" createdVersion="8" refreshedVersion="8" minRefreshableVersion="3" recordCount="176" xr:uid="{2A53FDAF-49F2-1B49-A80D-3237EE906D3F}">
  <cacheSource type="worksheet">
    <worksheetSource ref="A1:F177" sheet="Life-Expectancy-Data-Averaged"/>
  </cacheSource>
  <cacheFields count="6">
    <cacheField name="Country" numFmtId="0">
      <sharedItems/>
    </cacheField>
    <cacheField name="Region" numFmtId="0">
      <sharedItems count="9">
        <s v="Asia"/>
        <s v="Rest of Europe"/>
        <s v="Africa"/>
        <s v="Central America and Caribbean"/>
        <s v="South America"/>
        <s v="Oceania"/>
        <s v="European Union"/>
        <s v="Middle East"/>
        <s v="North America"/>
      </sharedItems>
    </cacheField>
    <cacheField name="Infant_deaths" numFmtId="2">
      <sharedItems containsSemiMixedTypes="0" containsString="0" containsNumber="1" minValue="2.3812500000000001" maxValue="115.71875"/>
    </cacheField>
    <cacheField name="Under_five_deaths" numFmtId="2">
      <sharedItems containsSemiMixedTypes="0" containsString="0" containsNumber="1" minValue="3" maxValue="178.72499999999999"/>
    </cacheField>
    <cacheField name="Adult_mortality" numFmtId="2">
      <sharedItems containsSemiMixedTypes="0" containsString="0" containsNumber="1" minValue="57.710312500000001" maxValue="572.9743125"/>
    </cacheField>
    <cacheField name="Life_expectancy" numFmtId="2">
      <sharedItems containsSemiMixedTypes="0" containsString="0" containsNumber="1" minValue="45.606250000000003" maxValue="82.456249999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
  <r>
    <s v="Afghanistan"/>
    <x v="0"/>
    <n v="71.081249999999997"/>
    <n v="98.612499999999997"/>
    <n v="265.80496875"/>
    <n v="59.65625"/>
  </r>
  <r>
    <s v="Albania"/>
    <x v="1"/>
    <n v="15.25625"/>
    <n v="17.143750000000001"/>
    <n v="83.132968750000003"/>
    <n v="75.95"/>
  </r>
  <r>
    <s v="Algeria"/>
    <x v="2"/>
    <n v="26.756250000000001"/>
    <n v="31.193750000000001"/>
    <n v="113.43928124999999"/>
    <n v="73.787499999999994"/>
  </r>
  <r>
    <s v="Angola"/>
    <x v="2"/>
    <n v="88.768749999999997"/>
    <n v="144.16249999999999"/>
    <n v="297.84406250000001"/>
    <n v="52.825000000000003"/>
  </r>
  <r>
    <s v="Antigua and Barbuda"/>
    <x v="3"/>
    <n v="9.4749999999999996"/>
    <n v="11.518750000000001"/>
    <n v="142.4788125"/>
    <n v="75.349999999999994"/>
  </r>
  <r>
    <s v="Argentina"/>
    <x v="4"/>
    <n v="13.85"/>
    <n v="15.50625"/>
    <n v="127.91265625"/>
    <n v="74.862499999999997"/>
  </r>
  <r>
    <s v="Armenia"/>
    <x v="1"/>
    <n v="19.03125"/>
    <n v="21.393750000000001"/>
    <n v="137.93993749999899"/>
    <n v="72.987499999999997"/>
  </r>
  <r>
    <s v="Australia"/>
    <x v="5"/>
    <n v="4.3125"/>
    <n v="5.15625"/>
    <n v="65.958593750000006"/>
    <n v="81.112499999999997"/>
  </r>
  <r>
    <s v="Austria"/>
    <x v="6"/>
    <n v="3.8125"/>
    <n v="4.5999999999999996"/>
    <n v="78.310500000000005"/>
    <n v="79.974999999999994"/>
  </r>
  <r>
    <s v="Azerbaijan"/>
    <x v="0"/>
    <n v="39.456249999999997"/>
    <n v="46.337499999999999"/>
    <n v="144.66434375"/>
    <n v="69.724999999999994"/>
  </r>
  <r>
    <s v="Bahamas, The"/>
    <x v="3"/>
    <n v="13.55"/>
    <n v="15.8375"/>
    <n v="173.48421875"/>
    <n v="72.206249999999997"/>
  </r>
  <r>
    <s v="Bahrain"/>
    <x v="7"/>
    <n v="8.3062500000000004"/>
    <n v="9.6875"/>
    <n v="75.388843750000007"/>
    <n v="75.662499999999994"/>
  </r>
  <r>
    <s v="Barbados"/>
    <x v="3"/>
    <n v="13.9"/>
    <n v="15.112500000000001"/>
    <n v="112.06821875"/>
    <n v="78.099999999999994"/>
  </r>
  <r>
    <s v="Belarus"/>
    <x v="1"/>
    <n v="5.7937500000000002"/>
    <n v="7.5187499999999998"/>
    <n v="223.07234374999999"/>
    <n v="70.287499999999994"/>
  </r>
  <r>
    <s v="Belgium"/>
    <x v="6"/>
    <n v="3.9"/>
    <n v="4.7562499999999996"/>
    <n v="85.439687500000005"/>
    <n v="79.55"/>
  </r>
  <r>
    <s v="Belize"/>
    <x v="3"/>
    <n v="16.887499999999999"/>
    <n v="19.743749999999999"/>
    <n v="185.1233125"/>
    <n v="71.174999999999997"/>
  </r>
  <r>
    <s v="Benin"/>
    <x v="2"/>
    <n v="73.387500000000003"/>
    <n v="115.86875000000001"/>
    <n v="263.93262499999997"/>
    <n v="58.206249999999997"/>
  </r>
  <r>
    <s v="Bhutan"/>
    <x v="0"/>
    <n v="40.34375"/>
    <n v="51.537500000000001"/>
    <n v="243.18621874999999"/>
    <n v="66.456249999999997"/>
  </r>
  <r>
    <s v="Bolivia"/>
    <x v="4"/>
    <n v="38.78125"/>
    <n v="50.243749999999999"/>
    <n v="210.68159374999999"/>
    <n v="66.587500000000006"/>
  </r>
  <r>
    <s v="Bosnia and Herzegovina"/>
    <x v="1"/>
    <n v="6.9937499999999897"/>
    <n v="8.0187500000000007"/>
    <n v="107.09218749999999"/>
    <n v="75.631249999999994"/>
  </r>
  <r>
    <s v="Botswana"/>
    <x v="2"/>
    <n v="40.981250000000003"/>
    <n v="61.95"/>
    <n v="427.12349999999998"/>
    <n v="57.037500000000001"/>
  </r>
  <r>
    <s v="Brazil"/>
    <x v="4"/>
    <n v="20.262499999999999"/>
    <n v="22.8125"/>
    <n v="162.59156250000001"/>
    <n v="72.693749999999994"/>
  </r>
  <r>
    <s v="Brunei Darussalam"/>
    <x v="0"/>
    <n v="8.0124999999999993"/>
    <n v="9.8625000000000007"/>
    <n v="94.990718749999999"/>
    <n v="74.3"/>
  </r>
  <r>
    <s v="Bulgaria"/>
    <x v="6"/>
    <n v="10.225"/>
    <n v="12.2875"/>
    <n v="148.02265625000001"/>
    <n v="73.150000000000006"/>
  </r>
  <r>
    <s v="Burkina Faso"/>
    <x v="2"/>
    <n v="74.762500000000003"/>
    <n v="138.26875000000001"/>
    <n v="293.67631249999999"/>
    <n v="55.2"/>
  </r>
  <r>
    <s v="Burundi"/>
    <x v="2"/>
    <n v="69.393749999999997"/>
    <n v="108.91249999999999"/>
    <n v="330.92296875"/>
    <n v="55.081249999999997"/>
  </r>
  <r>
    <s v="Cabo Verde"/>
    <x v="2"/>
    <n v="23.006250000000001"/>
    <n v="27.456250000000001"/>
    <n v="136.74465624999999"/>
    <n v="70.637500000000003"/>
  </r>
  <r>
    <s v="Cambodia"/>
    <x v="0"/>
    <n v="47.55"/>
    <n v="58.712499999999999"/>
    <n v="210.85571874999999"/>
    <n v="64.400000000000006"/>
  </r>
  <r>
    <s v="Cameroon"/>
    <x v="2"/>
    <n v="73.043750000000003"/>
    <n v="117.8625"/>
    <n v="375.99250000000001"/>
    <n v="54.03125"/>
  </r>
  <r>
    <s v="Canada"/>
    <x v="8"/>
    <n v="5.0687499999999996"/>
    <n v="5.875"/>
    <n v="72.634968749999999"/>
    <n v="80.612499999999997"/>
  </r>
  <r>
    <s v="Central African Republic"/>
    <x v="2"/>
    <n v="101.34375"/>
    <n v="150.68125000000001"/>
    <n v="493.01515625000002"/>
    <n v="46.481250000000003"/>
  </r>
  <r>
    <s v="Chad"/>
    <x v="2"/>
    <n v="88.03125"/>
    <n v="156.94374999999999"/>
    <n v="391.25024999999999"/>
    <n v="49.943750000000001"/>
  </r>
  <r>
    <s v="Chile"/>
    <x v="4"/>
    <n v="7.6749999999999998"/>
    <n v="9.0250000000000004"/>
    <n v="98.546531250000001"/>
    <n v="78.143749999999997"/>
  </r>
  <r>
    <s v="China"/>
    <x v="0"/>
    <n v="16.96875"/>
    <n v="21.1"/>
    <n v="97.511562499999997"/>
    <n v="73.6875"/>
  </r>
  <r>
    <s v="Colombia"/>
    <x v="4"/>
    <n v="17.081250000000001"/>
    <n v="19.993749999999999"/>
    <n v="153.46740625000001"/>
    <n v="74.8125"/>
  </r>
  <r>
    <s v="Comoros"/>
    <x v="2"/>
    <n v="65.137500000000003"/>
    <n v="89.268749999999997"/>
    <n v="251.57609374999899"/>
    <n v="61.143749999999997"/>
  </r>
  <r>
    <s v="Congo, Dem. Rep."/>
    <x v="2"/>
    <n v="89.481250000000003"/>
    <n v="125.81874999999999"/>
    <n v="298.78762499999999"/>
    <n v="55.068750000000001"/>
  </r>
  <r>
    <s v="Congo, Rep."/>
    <x v="2"/>
    <n v="51.818750000000001"/>
    <n v="77.618750000000006"/>
    <n v="342.83490625000002"/>
    <n v="57.731250000000003"/>
  </r>
  <r>
    <s v="Costa Rica"/>
    <x v="3"/>
    <n v="9.3937500000000007"/>
    <n v="10.93125"/>
    <n v="93.493187500000005"/>
    <n v="78.46875"/>
  </r>
  <r>
    <s v="Cote d'Ivoire"/>
    <x v="2"/>
    <n v="80.231250000000003"/>
    <n v="116.46875"/>
    <n v="432.7494375"/>
    <n v="51.95"/>
  </r>
  <r>
    <s v="Croatia"/>
    <x v="6"/>
    <n v="5.3812499999999996"/>
    <n v="6.2625000000000002"/>
    <n v="107.001625"/>
    <n v="75.8125"/>
  </r>
  <r>
    <s v="Cuba"/>
    <x v="3"/>
    <n v="5.5687499999999996"/>
    <n v="6.9874999999999998"/>
    <n v="98.993968749999993"/>
    <n v="77.893749999999997"/>
  </r>
  <r>
    <s v="Cyprus"/>
    <x v="6"/>
    <n v="3.5249999999999999"/>
    <n v="4.1500000000000004"/>
    <n v="60.448281250000001"/>
    <n v="79.081249999999997"/>
  </r>
  <r>
    <s v="Czechia"/>
    <x v="6"/>
    <n v="3.25"/>
    <n v="4"/>
    <n v="104.33340625"/>
    <n v="76.78125"/>
  </r>
  <r>
    <s v="Denmark"/>
    <x v="6"/>
    <n v="3.9375"/>
    <n v="4.6812500000000004"/>
    <n v="86.872562500000001"/>
    <n v="78.543750000000003"/>
  </r>
  <r>
    <s v="Djibouti"/>
    <x v="2"/>
    <n v="66.987499999999997"/>
    <n v="82.868749999999906"/>
    <n v="288.27968750000002"/>
    <n v="59.487499999999997"/>
  </r>
  <r>
    <s v="Dominican Republic"/>
    <x v="3"/>
    <n v="29.71875"/>
    <n v="36.274999999999999"/>
    <n v="174.18625"/>
    <n v="71.381249999999994"/>
  </r>
  <r>
    <s v="Ecuador"/>
    <x v="4"/>
    <n v="18.3125"/>
    <n v="21.543749999999999"/>
    <n v="140.41896875"/>
    <n v="74.556250000000006"/>
  </r>
  <r>
    <s v="Egypt, Arab Rep."/>
    <x v="2"/>
    <n v="27.181249999999999"/>
    <n v="33.006250000000001"/>
    <n v="164.43240625000001"/>
    <n v="69.912499999999994"/>
  </r>
  <r>
    <s v="El Salvador"/>
    <x v="3"/>
    <n v="19.331250000000001"/>
    <n v="22.875"/>
    <n v="201.79106250000001"/>
    <n v="70.662499999999994"/>
  </r>
  <r>
    <s v="Equatorial Guinea"/>
    <x v="2"/>
    <n v="86.568749999999994"/>
    <n v="123.09375"/>
    <n v="331.33331249999998"/>
    <n v="55.131250000000001"/>
  </r>
  <r>
    <s v="Eritrea"/>
    <x v="2"/>
    <n v="43.287500000000001"/>
    <n v="62.59375"/>
    <n v="314.23787499999997"/>
    <n v="60.28125"/>
  </r>
  <r>
    <s v="Estonia"/>
    <x v="6"/>
    <n v="4.90625"/>
    <n v="6.2249999999999996"/>
    <n v="167.416875"/>
    <n v="73.818749999999994"/>
  </r>
  <r>
    <s v="Eswatini"/>
    <x v="2"/>
    <n v="59.518749999999997"/>
    <n v="95.106250000000003"/>
    <n v="539.56581249999999"/>
    <n v="46.693750000000001"/>
  </r>
  <r>
    <s v="Ethiopia"/>
    <x v="2"/>
    <n v="62.981250000000003"/>
    <n v="97.424999999999997"/>
    <n v="304.33171874999999"/>
    <n v="58.768749999999997"/>
  </r>
  <r>
    <s v="Fiji"/>
    <x v="5"/>
    <n v="19.793749999999999"/>
    <n v="23.3"/>
    <n v="203.28853125000001"/>
    <n v="66.481250000000003"/>
  </r>
  <r>
    <s v="Finland"/>
    <x v="6"/>
    <n v="2.7749999999999999"/>
    <n v="3.3937499999999998"/>
    <n v="89.677781249999995"/>
    <n v="79.5"/>
  </r>
  <r>
    <s v="France"/>
    <x v="6"/>
    <n v="3.34375"/>
    <n v="4.5374999999999996"/>
    <n v="87.903781249999994"/>
    <n v="80.912499999999994"/>
  </r>
  <r>
    <s v="Gabon"/>
    <x v="2"/>
    <n v="44.662500000000001"/>
    <n v="67.431250000000006"/>
    <n v="290.99981250000002"/>
    <n v="60.35"/>
  </r>
  <r>
    <s v="Gambia, The"/>
    <x v="2"/>
    <n v="49.8125"/>
    <n v="83.8"/>
    <n v="281.35596874999999"/>
    <n v="58.681249999999999"/>
  </r>
  <r>
    <s v="Georgia"/>
    <x v="1"/>
    <n v="18.0625"/>
    <n v="20.381250000000001"/>
    <n v="170.07196875"/>
    <n v="71.15625"/>
  </r>
  <r>
    <s v="Germany"/>
    <x v="6"/>
    <n v="3.7312500000000002"/>
    <n v="4.5187499999999998"/>
    <n v="81.360343749999998"/>
    <n v="79.474999999999994"/>
  </r>
  <r>
    <s v="Greece"/>
    <x v="6"/>
    <n v="4.0250000000000004"/>
    <n v="4.6062500000000002"/>
    <n v="76.727000000000004"/>
    <n v="79.762500000000003"/>
  </r>
  <r>
    <s v="Grenada"/>
    <x v="3"/>
    <n v="13.00625"/>
    <n v="15.15625"/>
    <n v="159.1449375"/>
    <n v="72.849999999999994"/>
  </r>
  <r>
    <s v="Guatemala"/>
    <x v="3"/>
    <n v="31.71875"/>
    <n v="39.174999999999997"/>
    <n v="185.32374999999999"/>
    <n v="70.618750000000006"/>
  </r>
  <r>
    <s v="Guinea"/>
    <x v="2"/>
    <n v="80.674999999999997"/>
    <n v="129.08750000000001"/>
    <n v="303.28071875000001"/>
    <n v="55.106250000000003"/>
  </r>
  <r>
    <s v="Guinea-Bissau"/>
    <x v="2"/>
    <n v="81.418750000000003"/>
    <n v="130.56874999999999"/>
    <n v="291.87390625"/>
    <n v="53.524999999999999"/>
  </r>
  <r>
    <s v="Guyana"/>
    <x v="4"/>
    <n v="32.049999999999997"/>
    <n v="39.512500000000003"/>
    <n v="220.07425000000001"/>
    <n v="67.331249999999997"/>
  </r>
  <r>
    <s v="Haiti"/>
    <x v="3"/>
    <n v="65.243750000000006"/>
    <n v="92.887500000000003"/>
    <n v="275.16796875"/>
    <n v="59.65625"/>
  </r>
  <r>
    <s v="Honduras"/>
    <x v="3"/>
    <n v="22.506250000000001"/>
    <n v="26.84375"/>
    <n v="158.35918749999999"/>
    <n v="72.65625"/>
  </r>
  <r>
    <s v="Hungary"/>
    <x v="6"/>
    <n v="5.96875"/>
    <n v="7.0562500000000004"/>
    <n v="164.95037500000001"/>
    <n v="73.643749999999997"/>
  </r>
  <r>
    <s v="Iceland"/>
    <x v="1"/>
    <n v="2.4125000000000001"/>
    <n v="3.03125"/>
    <n v="59.145781249999999"/>
    <n v="81.575000000000003"/>
  </r>
  <r>
    <s v="India"/>
    <x v="0"/>
    <n v="50.5"/>
    <n v="66.65625"/>
    <n v="199.50303124999999"/>
    <n v="65.587500000000006"/>
  </r>
  <r>
    <s v="Indonesia"/>
    <x v="0"/>
    <n v="31.306249999999999"/>
    <n v="38.78125"/>
    <n v="186.00800000000001"/>
    <n v="68.268749999999997"/>
  </r>
  <r>
    <s v="Iran, Islamic Rep."/>
    <x v="7"/>
    <n v="20.043749999999999"/>
    <n v="23.8"/>
    <n v="118.19478125000001"/>
    <n v="72.96875"/>
  </r>
  <r>
    <s v="Ireland"/>
    <x v="6"/>
    <n v="4.1937499999999996"/>
    <n v="4.95"/>
    <n v="75.157281249999997"/>
    <n v="79.481250000000003"/>
  </r>
  <r>
    <s v="Israel"/>
    <x v="7"/>
    <n v="4.1687500000000002"/>
    <n v="5.1687500000000002"/>
    <n v="65.661812499999996"/>
    <n v="80.793750000000003"/>
  </r>
  <r>
    <s v="Italy"/>
    <x v="6"/>
    <n v="3.65625"/>
    <n v="4.3125"/>
    <n v="62.063968750000001"/>
    <n v="81.387500000000003"/>
  </r>
  <r>
    <s v="Jamaica"/>
    <x v="3"/>
    <n v="16.181249999999999"/>
    <n v="18.90625"/>
    <n v="148.41737499999999"/>
    <n v="74.068749999999994"/>
  </r>
  <r>
    <s v="Japan"/>
    <x v="0"/>
    <n v="2.5750000000000002"/>
    <n v="3.5062500000000001"/>
    <n v="64.519093749999996"/>
    <n v="82.456249999999997"/>
  </r>
  <r>
    <s v="Jordan"/>
    <x v="7"/>
    <n v="18.53125"/>
    <n v="21.793749999999999"/>
    <n v="119.65712499999999"/>
    <n v="72.987499999999997"/>
  </r>
  <r>
    <s v="Kazakhstan"/>
    <x v="0"/>
    <n v="22.918749999999999"/>
    <n v="26.043749999999999"/>
    <n v="250.07"/>
    <n v="67.731250000000003"/>
  </r>
  <r>
    <s v="Kenya"/>
    <x v="2"/>
    <n v="45.087499999999999"/>
    <n v="69.212500000000006"/>
    <n v="347.53603125000001"/>
    <n v="57.774999999999999"/>
  </r>
  <r>
    <s v="Kiribati"/>
    <x v="5"/>
    <n v="48.95"/>
    <n v="63.943750000000001"/>
    <n v="210.32921875"/>
    <n v="65.162499999999994"/>
  </r>
  <r>
    <s v="Kuwait"/>
    <x v="7"/>
    <n v="9.2437500000000004"/>
    <n v="10.762499999999999"/>
    <n v="74.596593749999997"/>
    <n v="74.018749999999997"/>
  </r>
  <r>
    <s v="Kyrgyz Republic"/>
    <x v="0"/>
    <n v="30.412500000000001"/>
    <n v="34.881250000000001"/>
    <n v="205.739375"/>
    <n v="68.962500000000006"/>
  </r>
  <r>
    <s v="Lao PDR"/>
    <x v="0"/>
    <n v="58.181249999999999"/>
    <n v="78.443749999999994"/>
    <n v="231.730625"/>
    <n v="62.875"/>
  </r>
  <r>
    <s v="Latvia"/>
    <x v="6"/>
    <n v="7.6374999999999904"/>
    <n v="9.25"/>
    <n v="198.878625"/>
    <n v="72.356250000000003"/>
  </r>
  <r>
    <s v="Lebanon"/>
    <x v="7"/>
    <n v="10.95"/>
    <n v="12.75625"/>
    <n v="76.30496875"/>
    <n v="77.3125"/>
  </r>
  <r>
    <s v="Lesotho"/>
    <x v="2"/>
    <n v="72.21875"/>
    <n v="105.13124999999999"/>
    <n v="571.07271875000004"/>
    <n v="45.606250000000003"/>
  </r>
  <r>
    <s v="Liberia"/>
    <x v="2"/>
    <n v="86.03125"/>
    <n v="122.53749999999999"/>
    <n v="287.74593750000003"/>
    <n v="57.293750000000003"/>
  </r>
  <r>
    <s v="Libya"/>
    <x v="2"/>
    <n v="17.34375"/>
    <n v="20.356249999999999"/>
    <n v="136.8853125"/>
    <n v="71.793750000000003"/>
  </r>
  <r>
    <s v="Lithuania"/>
    <x v="6"/>
    <n v="6.0875000000000004"/>
    <n v="7.55"/>
    <n v="199.74674999999999"/>
    <n v="72.568749999999994"/>
  </r>
  <r>
    <s v="Luxembourg"/>
    <x v="6"/>
    <n v="2.6875"/>
    <n v="3.2749999999999999"/>
    <n v="77.854531249999994"/>
    <n v="79.9375"/>
  </r>
  <r>
    <s v="Madagascar"/>
    <x v="2"/>
    <n v="52.393749999999997"/>
    <n v="78.625"/>
    <n v="251.9008125"/>
    <n v="62.225000000000001"/>
  </r>
  <r>
    <s v="Malawi"/>
    <x v="2"/>
    <n v="61.6875"/>
    <n v="102.325"/>
    <n v="453.39359374999998"/>
    <n v="52.287500000000001"/>
  </r>
  <r>
    <s v="Malaysia"/>
    <x v="0"/>
    <n v="7.15625"/>
    <n v="8.3812499999999996"/>
    <n v="128.30821875000001"/>
    <n v="74.037499999999994"/>
  </r>
  <r>
    <s v="Maldives"/>
    <x v="0"/>
    <n v="16.6875"/>
    <n v="19.887499999999999"/>
    <n v="89.863781250000002"/>
    <n v="74.512500000000003"/>
  </r>
  <r>
    <s v="Mali"/>
    <x v="2"/>
    <n v="82.962499999999906"/>
    <n v="144.73750000000001"/>
    <n v="295.56159374999999"/>
    <n v="53.356250000000003"/>
  </r>
  <r>
    <s v="Malta"/>
    <x v="6"/>
    <n v="6.0687499999999996"/>
    <n v="6.9249999999999998"/>
    <n v="57.710312500000001"/>
    <n v="80.018749999999997"/>
  </r>
  <r>
    <s v="Mauritania"/>
    <x v="2"/>
    <n v="63.487499999999997"/>
    <n v="100.53749999999999"/>
    <n v="216.89168749999999"/>
    <n v="62.0625"/>
  </r>
  <r>
    <s v="Mauritius"/>
    <x v="2"/>
    <n v="13.456250000000001"/>
    <n v="15.55"/>
    <n v="156.80553125"/>
    <n v="72.849999999999994"/>
  </r>
  <r>
    <s v="Mexico"/>
    <x v="8"/>
    <n v="18.231249999999999"/>
    <n v="21.4375"/>
    <n v="120.38296875"/>
    <n v="75.012500000000003"/>
  </r>
  <r>
    <s v="Micronesia, Fed. Sts."/>
    <x v="5"/>
    <n v="27.78125"/>
    <n v="33.662500000000001"/>
    <n v="174.53996874999899"/>
    <n v="65.96875"/>
  </r>
  <r>
    <s v="Moldova"/>
    <x v="1"/>
    <n v="17.125"/>
    <n v="20.112500000000001"/>
    <n v="211.08600000000001"/>
    <n v="68.924999999999997"/>
  </r>
  <r>
    <s v="Mongolia"/>
    <x v="0"/>
    <n v="29.162500000000001"/>
    <n v="36.043750000000003"/>
    <n v="241.1844375"/>
    <n v="66.174999999999997"/>
  </r>
  <r>
    <s v="Montenegro"/>
    <x v="1"/>
    <n v="7.59375"/>
    <n v="8.78125"/>
    <n v="121.90746875000001"/>
    <n v="74.756249999999994"/>
  </r>
  <r>
    <s v="Morocco"/>
    <x v="2"/>
    <n v="31.40625"/>
    <n v="36.818750000000001"/>
    <n v="102.42874999999999"/>
    <n v="72.768749999999997"/>
  </r>
  <r>
    <s v="Mozambique"/>
    <x v="2"/>
    <n v="81.125"/>
    <n v="120.675"/>
    <n v="397.74759375000002"/>
    <n v="51.881250000000001"/>
  </r>
  <r>
    <s v="Myanmar"/>
    <x v="0"/>
    <n v="53.8"/>
    <n v="72.337500000000006"/>
    <n v="217.36915625"/>
    <n v="62.7"/>
  </r>
  <r>
    <s v="Namibia"/>
    <x v="2"/>
    <n v="38.987499999999997"/>
    <n v="60.7"/>
    <n v="434.25493749999998"/>
    <n v="54.875"/>
  </r>
  <r>
    <s v="Nepal"/>
    <x v="0"/>
    <n v="42.075000000000003"/>
    <n v="54.043750000000003"/>
    <n v="191.84340624999999"/>
    <n v="66.28125"/>
  </r>
  <r>
    <s v="Netherlands"/>
    <x v="6"/>
    <n v="4.1437499999999998"/>
    <n v="4.9437499999999996"/>
    <n v="69.710156249999997"/>
    <n v="79.96875"/>
  </r>
  <r>
    <s v="New Zealand"/>
    <x v="5"/>
    <n v="5.3"/>
    <n v="6.3875000000000002"/>
    <n v="74.433875"/>
    <n v="80.1875"/>
  </r>
  <r>
    <s v="Nicaragua"/>
    <x v="3"/>
    <n v="23.012499999999999"/>
    <n v="27.5"/>
    <n v="170.25853125"/>
    <n v="71.743750000000006"/>
  </r>
  <r>
    <s v="Niger"/>
    <x v="2"/>
    <n v="71.5625"/>
    <n v="150.4"/>
    <n v="273.49696875000001"/>
    <n v="55.368749999999999"/>
  </r>
  <r>
    <s v="Nigeria"/>
    <x v="2"/>
    <n v="91.206249999999997"/>
    <n v="148.25"/>
    <n v="385.92265624999999"/>
    <n v="49.581249999999997"/>
  </r>
  <r>
    <s v="North Macedonia"/>
    <x v="1"/>
    <n v="11.043749999999999"/>
    <n v="12.45"/>
    <n v="110.593125"/>
    <n v="74.224999999999994"/>
  </r>
  <r>
    <s v="Norway"/>
    <x v="1"/>
    <n v="3.0125000000000002"/>
    <n v="3.7062499999999998"/>
    <n v="68.40325"/>
    <n v="80.481250000000003"/>
  </r>
  <r>
    <s v="Oman"/>
    <x v="7"/>
    <n v="10.93125"/>
    <n v="12.69375"/>
    <n v="106.4806875"/>
    <n v="74.806250000000006"/>
  </r>
  <r>
    <s v="Pakistan"/>
    <x v="0"/>
    <n v="73.293750000000003"/>
    <n v="91.674999999999997"/>
    <n v="174.61015624999999"/>
    <n v="64.65625"/>
  </r>
  <r>
    <s v="Panama"/>
    <x v="3"/>
    <n v="18.243749999999999"/>
    <n v="21.431249999999999"/>
    <n v="122.19806250000001"/>
    <n v="76.375"/>
  </r>
  <r>
    <s v="Papua New Guinea"/>
    <x v="5"/>
    <n v="47.15"/>
    <n v="61.306249999999999"/>
    <n v="244.97784375000001"/>
    <n v="61.293750000000003"/>
  </r>
  <r>
    <s v="Paraguay"/>
    <x v="4"/>
    <n v="23.506250000000001"/>
    <n v="28.087499999999999"/>
    <n v="156.40859374999999"/>
    <n v="72.168750000000003"/>
  </r>
  <r>
    <s v="Peru"/>
    <x v="4"/>
    <n v="18.787500000000001"/>
    <n v="24.262499999999999"/>
    <n v="137.56240625000001"/>
    <n v="73.59375"/>
  </r>
  <r>
    <s v="Philippines"/>
    <x v="0"/>
    <n v="25.737500000000001"/>
    <n v="33.168750000000003"/>
    <n v="208.37809375000001"/>
    <n v="69.537499999999994"/>
  </r>
  <r>
    <s v="Poland"/>
    <x v="6"/>
    <n v="5.9187500000000002"/>
    <n v="6.84375"/>
    <n v="134.7315625"/>
    <n v="75.625"/>
  </r>
  <r>
    <s v="Portugal"/>
    <x v="6"/>
    <n v="3.6375000000000002"/>
    <n v="4.5999999999999996"/>
    <n v="91.730531249999999"/>
    <n v="78.743750000000006"/>
  </r>
  <r>
    <s v="Qatar"/>
    <x v="7"/>
    <n v="8.4875000000000007"/>
    <n v="9.9"/>
    <n v="62.404406250000001"/>
    <n v="78.662499999999994"/>
  </r>
  <r>
    <s v="Romania"/>
    <x v="6"/>
    <n v="12.90625"/>
    <n v="15.231249999999999"/>
    <n v="153.2338125"/>
    <n v="72.881249999999994"/>
  </r>
  <r>
    <s v="Russian Federation"/>
    <x v="1"/>
    <n v="10.199999999999999"/>
    <n v="12.6875"/>
    <n v="272.35246875000001"/>
    <n v="67.75"/>
  </r>
  <r>
    <s v="Rwanda"/>
    <x v="2"/>
    <n v="60.075000000000003"/>
    <n v="94.412499999999994"/>
    <n v="303.88971874999999"/>
    <n v="58.95"/>
  </r>
  <r>
    <s v="Samoa"/>
    <x v="5"/>
    <n v="16.793749999999999"/>
    <n v="19.856249999999999"/>
    <n v="141.87646874999999"/>
    <n v="70.9375"/>
  </r>
  <r>
    <s v="Sao Tome and Principe"/>
    <x v="3"/>
    <n v="34.368749999999999"/>
    <n v="47.887500000000003"/>
    <n v="204.09943749999999"/>
    <n v="65.84375"/>
  </r>
  <r>
    <s v="Saudi Arabia"/>
    <x v="7"/>
    <n v="12.61875"/>
    <n v="14.7"/>
    <n v="98.198750000000004"/>
    <n v="73.631249999999994"/>
  </r>
  <r>
    <s v="Senegal"/>
    <x v="2"/>
    <n v="48.96875"/>
    <n v="82.356250000000003"/>
    <n v="223.85590625"/>
    <n v="62.381250000000001"/>
  </r>
  <r>
    <s v="Serbia"/>
    <x v="1"/>
    <n v="7.5437500000000002"/>
    <n v="8.7249999999999996"/>
    <n v="134.48193749999999"/>
    <n v="73.643749999999997"/>
  </r>
  <r>
    <s v="Seychelles"/>
    <x v="2"/>
    <n v="12.06875"/>
    <n v="14.03125"/>
    <n v="162.59440624999999"/>
    <n v="72.837500000000006"/>
  </r>
  <r>
    <s v="Sierra Leone"/>
    <x v="2"/>
    <n v="115.71875"/>
    <n v="178.72499999999999"/>
    <n v="453.049499999999"/>
    <n v="46.7"/>
  </r>
  <r>
    <s v="Singapore"/>
    <x v="0"/>
    <n v="2.3812500000000001"/>
    <n v="3"/>
    <n v="63.662750000000003"/>
    <n v="80.53125"/>
  </r>
  <r>
    <s v="Slovak Republic"/>
    <x v="6"/>
    <n v="6.3999999999999897"/>
    <n v="7.71875"/>
    <n v="130.47078124999999"/>
    <n v="74.787499999999994"/>
  </r>
  <r>
    <s v="Slovenia"/>
    <x v="6"/>
    <n v="3.1437499999999998"/>
    <n v="3.8125"/>
    <n v="96.405593749999994"/>
    <n v="78.443749999999994"/>
  </r>
  <r>
    <s v="Solomon Islands"/>
    <x v="5"/>
    <n v="23.03125"/>
    <n v="27.456250000000001"/>
    <n v="184.09934375"/>
    <n v="69.900000000000006"/>
  </r>
  <r>
    <s v="Somalia"/>
    <x v="2"/>
    <n v="98.256249999999994"/>
    <n v="161.26875000000001"/>
    <n v="333.185124999999"/>
    <n v="53.243749999999999"/>
  </r>
  <r>
    <s v="South Africa"/>
    <x v="2"/>
    <n v="40.806249999999999"/>
    <n v="61.693750000000001"/>
    <n v="454.711593749999"/>
    <n v="56.78125"/>
  </r>
  <r>
    <s v="Spain"/>
    <x v="6"/>
    <n v="3.5"/>
    <n v="4.3"/>
    <n v="70.445781249999996"/>
    <n v="81.106250000000003"/>
  </r>
  <r>
    <s v="Sri Lanka"/>
    <x v="0"/>
    <n v="11.44375"/>
    <n v="14.15625"/>
    <n v="128.38568749999999"/>
    <n v="74.6875"/>
  </r>
  <r>
    <s v="St. Lucia"/>
    <x v="3"/>
    <n v="16.899999999999999"/>
    <n v="19.368749999999999"/>
    <n v="153.76909375"/>
    <n v="74.474999999999994"/>
  </r>
  <r>
    <s v="St. Vincent and the Grenadines"/>
    <x v="3"/>
    <n v="17.96875"/>
    <n v="20.262499999999999"/>
    <n v="168.21712500000001"/>
    <n v="71.506249999999994"/>
  </r>
  <r>
    <s v="Suriname"/>
    <x v="4"/>
    <n v="22.28125"/>
    <n v="25.087499999999999"/>
    <n v="189.63271875000001"/>
    <n v="69.618750000000006"/>
  </r>
  <r>
    <s v="Sweden"/>
    <x v="6"/>
    <n v="2.7875000000000001"/>
    <n v="3.3875000000000002"/>
    <n v="62.071031249999997"/>
    <n v="80.993750000000006"/>
  </r>
  <r>
    <s v="Switzerland"/>
    <x v="1"/>
    <n v="4.1375000000000002"/>
    <n v="4.8499999999999996"/>
    <n v="61.564500000000002"/>
    <n v="81.674999999999997"/>
  </r>
  <r>
    <s v="Syrian Arab Republic"/>
    <x v="7"/>
    <n v="19.368749999999999"/>
    <n v="25.8125"/>
    <n v="142.97812500000001"/>
    <n v="72.606250000000003"/>
  </r>
  <r>
    <s v="Tajikistan"/>
    <x v="0"/>
    <n v="44.5"/>
    <n v="52.731250000000003"/>
    <n v="152.35234374999999"/>
    <n v="66.974999999999994"/>
  </r>
  <r>
    <s v="Tanzania"/>
    <x v="2"/>
    <n v="55"/>
    <n v="86.237499999999997"/>
    <n v="354.29124999999999"/>
    <n v="56.625"/>
  </r>
  <r>
    <s v="Thailand"/>
    <x v="0"/>
    <n v="13.45"/>
    <n v="15.68125"/>
    <n v="171.15040625"/>
    <n v="73.2"/>
  </r>
  <r>
    <s v="Timor-Leste"/>
    <x v="5"/>
    <n v="60.106249999999903"/>
    <n v="73.581249999999997"/>
    <n v="192.32203125000001"/>
    <n v="64.943749999999994"/>
  </r>
  <r>
    <s v="Togo"/>
    <x v="2"/>
    <n v="62.5625"/>
    <n v="96.587500000000006"/>
    <n v="311.29118749999998"/>
    <n v="56.262500000000003"/>
  </r>
  <r>
    <s v="Tonga"/>
    <x v="5"/>
    <n v="12.1875"/>
    <n v="14.1625"/>
    <n v="146.21415625"/>
    <n v="69.993750000000006"/>
  </r>
  <r>
    <s v="Trinidad and Tobago"/>
    <x v="3"/>
    <n v="21.368749999999999"/>
    <n v="24.012499999999999"/>
    <n v="181.46771874999999"/>
    <n v="71.28125"/>
  </r>
  <r>
    <s v="Tunisia"/>
    <x v="2"/>
    <n v="18.05"/>
    <n v="21.206250000000001"/>
    <n v="101.3611875"/>
    <n v="74.599999999999994"/>
  </r>
  <r>
    <s v="Turkiye"/>
    <x v="7"/>
    <n v="19.462499999999999"/>
    <n v="23.137499999999999"/>
    <n v="123.14449999999999"/>
    <n v="73.418750000000003"/>
  </r>
  <r>
    <s v="Turkmenistan"/>
    <x v="0"/>
    <n v="42.725000000000001"/>
    <n v="50.268749999999997"/>
    <n v="210.74481249999999"/>
    <n v="65.787499999999994"/>
  </r>
  <r>
    <s v="Uganda"/>
    <x v="2"/>
    <n v="59.3"/>
    <n v="94.674999999999997"/>
    <n v="406.42153124999999"/>
    <n v="54.212499999999999"/>
  </r>
  <r>
    <s v="Ukraine"/>
    <x v="1"/>
    <n v="11.46875"/>
    <n v="13.3375"/>
    <n v="240.37337500000001"/>
    <n v="69.224999999999994"/>
  </r>
  <r>
    <s v="United Arab Emirates"/>
    <x v="7"/>
    <n v="7.9562499999999998"/>
    <n v="9.2874999999999996"/>
    <n v="80.410656250000002"/>
    <n v="75.84375"/>
  </r>
  <r>
    <s v="United Kingdom"/>
    <x v="1"/>
    <n v="4.7437500000000004"/>
    <n v="5.5562500000000004"/>
    <n v="77.52553125"/>
    <n v="79.612499999999997"/>
  </r>
  <r>
    <s v="United States"/>
    <x v="8"/>
    <n v="6.4749999999999996"/>
    <n v="7.6312499999999996"/>
    <n v="109.06359375"/>
    <n v="77.900000000000006"/>
  </r>
  <r>
    <s v="Uruguay"/>
    <x v="4"/>
    <n v="11.00625"/>
    <n v="12.68125"/>
    <n v="114.95106250000001"/>
    <n v="76.206249999999997"/>
  </r>
  <r>
    <s v="Uzbekistan"/>
    <x v="0"/>
    <n v="32.256250000000001"/>
    <n v="37.318750000000001"/>
    <n v="167.89690625"/>
    <n v="69.037499999999994"/>
  </r>
  <r>
    <s v="Vanuatu"/>
    <x v="5"/>
    <n v="23.95"/>
    <n v="28.618749999999999"/>
    <n v="153.71478124999999"/>
    <n v="68.712500000000006"/>
  </r>
  <r>
    <s v="Venezuela, RB"/>
    <x v="4"/>
    <n v="15.85"/>
    <n v="18.5"/>
    <n v="151.05615624999999"/>
    <n v="72.793750000000003"/>
  </r>
  <r>
    <s v="Vietnam"/>
    <x v="0"/>
    <n v="19.5"/>
    <n v="24.474999999999898"/>
    <n v="133.05440625"/>
    <n v="74.331249999999997"/>
  </r>
  <r>
    <s v="Yemen, Rep."/>
    <x v="7"/>
    <n v="52.443750000000001"/>
    <n v="69.575000000000003"/>
    <n v="239.65393749999899"/>
    <n v="64.162499999999994"/>
  </r>
  <r>
    <s v="Zambia"/>
    <x v="2"/>
    <n v="60.581249999999997"/>
    <n v="99.206249999999997"/>
    <n v="452.76121875000001"/>
    <n v="52.331249999999997"/>
  </r>
  <r>
    <s v="Zimbabwe"/>
    <x v="2"/>
    <n v="50.168750000000003"/>
    <n v="85.325000000000003"/>
    <n v="572.9743125"/>
    <n v="48.6625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B33E55-04DE-A14C-95D0-771087995FA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3" firstHeaderRow="0" firstDataRow="1" firstDataCol="1"/>
  <pivotFields count="6">
    <pivotField showAll="0"/>
    <pivotField axis="axisRow" showAll="0">
      <items count="10">
        <item x="2"/>
        <item x="0"/>
        <item x="3"/>
        <item x="6"/>
        <item x="7"/>
        <item x="8"/>
        <item x="5"/>
        <item x="1"/>
        <item x="4"/>
        <item t="default"/>
      </items>
    </pivotField>
    <pivotField dataField="1" numFmtId="2" showAll="0"/>
    <pivotField numFmtId="2" showAll="0"/>
    <pivotField dataField="1" numFmtId="2" showAll="0"/>
    <pivotField dataField="1" numFmtId="2" showAll="0"/>
  </pivotFields>
  <rowFields count="1">
    <field x="1"/>
  </rowFields>
  <rowItems count="10">
    <i>
      <x/>
    </i>
    <i>
      <x v="1"/>
    </i>
    <i>
      <x v="2"/>
    </i>
    <i>
      <x v="3"/>
    </i>
    <i>
      <x v="4"/>
    </i>
    <i>
      <x v="5"/>
    </i>
    <i>
      <x v="6"/>
    </i>
    <i>
      <x v="7"/>
    </i>
    <i>
      <x v="8"/>
    </i>
    <i t="grand">
      <x/>
    </i>
  </rowItems>
  <colFields count="1">
    <field x="-2"/>
  </colFields>
  <colItems count="3">
    <i>
      <x/>
    </i>
    <i i="1">
      <x v="1"/>
    </i>
    <i i="2">
      <x v="2"/>
    </i>
  </colItems>
  <dataFields count="3">
    <dataField name="Average of Adult_mortality" fld="4" subtotal="average" baseField="0" baseItem="0" numFmtId="2"/>
    <dataField name="Average of Infant_deaths" fld="2" subtotal="average" baseField="0" baseItem="0" numFmtId="2"/>
    <dataField name="Average of Life_expectancy" fld="5" subtotal="average" baseField="0" baseItem="0" numFmtId="2"/>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F3F4B-9DF4-4454-B779-2A65285A5A69}">
  <dimension ref="A1:AB177"/>
  <sheetViews>
    <sheetView topLeftCell="E5" zoomScale="91" workbookViewId="0">
      <selection activeCell="J32" sqref="J32"/>
    </sheetView>
  </sheetViews>
  <sheetFormatPr baseColWidth="10" defaultColWidth="8.83203125" defaultRowHeight="15" x14ac:dyDescent="0.2"/>
  <cols>
    <col min="1" max="1" width="28.33203125" bestFit="1" customWidth="1"/>
    <col min="2" max="2" width="29" bestFit="1" customWidth="1"/>
    <col min="3" max="3" width="17.5" customWidth="1"/>
    <col min="4" max="4" width="18" customWidth="1"/>
    <col min="5" max="5" width="19" customWidth="1"/>
    <col min="6" max="6" width="14.83203125" customWidth="1"/>
    <col min="10" max="10" width="20.1640625" customWidth="1"/>
    <col min="11" max="11" width="13.6640625" bestFit="1" customWidth="1"/>
    <col min="12" max="12" width="19.83203125" bestFit="1" customWidth="1"/>
    <col min="13" max="13" width="14.6640625" bestFit="1" customWidth="1"/>
    <col min="14" max="14" width="20.1640625" bestFit="1" customWidth="1"/>
    <col min="15" max="15" width="19.83203125" bestFit="1" customWidth="1"/>
    <col min="16" max="16" width="20.1640625" bestFit="1" customWidth="1"/>
    <col min="18" max="18" width="19.83203125" bestFit="1" customWidth="1"/>
    <col min="19" max="19" width="12.6640625" bestFit="1" customWidth="1"/>
    <col min="21" max="21" width="19.83203125" bestFit="1" customWidth="1"/>
    <col min="22" max="22" width="13.6640625" bestFit="1" customWidth="1"/>
  </cols>
  <sheetData>
    <row r="1" spans="1:28" s="1" customFormat="1" ht="16" x14ac:dyDescent="0.2">
      <c r="A1" s="1" t="s">
        <v>0</v>
      </c>
      <c r="B1" s="1" t="s">
        <v>1</v>
      </c>
      <c r="C1" s="1" t="s">
        <v>2</v>
      </c>
      <c r="D1" s="1" t="s">
        <v>3</v>
      </c>
      <c r="E1" s="1" t="s">
        <v>4</v>
      </c>
      <c r="F1" s="1" t="s">
        <v>5</v>
      </c>
      <c r="L1" s="10"/>
      <c r="M1" s="10"/>
      <c r="N1" s="10"/>
      <c r="O1" s="10"/>
      <c r="P1" s="10"/>
      <c r="Q1" s="16"/>
      <c r="R1" s="10"/>
      <c r="S1" s="10"/>
      <c r="T1" s="16"/>
      <c r="U1" s="10"/>
      <c r="V1" s="10"/>
    </row>
    <row r="2" spans="1:28" x14ac:dyDescent="0.2">
      <c r="A2" t="s">
        <v>6</v>
      </c>
      <c r="B2" t="s">
        <v>7</v>
      </c>
      <c r="C2" s="2">
        <v>71.081249999999997</v>
      </c>
      <c r="D2" s="2">
        <v>98.612499999999997</v>
      </c>
      <c r="E2" s="2">
        <v>265.80496875</v>
      </c>
      <c r="F2" s="2">
        <v>59.65625</v>
      </c>
      <c r="L2" s="3"/>
      <c r="M2" s="3"/>
      <c r="N2" s="3"/>
      <c r="O2" s="3"/>
      <c r="P2" s="3"/>
      <c r="Q2" s="11"/>
      <c r="R2" s="3"/>
      <c r="S2" s="3"/>
      <c r="T2" s="11"/>
      <c r="U2" s="3"/>
      <c r="V2" s="3"/>
    </row>
    <row r="3" spans="1:28" x14ac:dyDescent="0.2">
      <c r="A3" t="s">
        <v>8</v>
      </c>
      <c r="B3" t="s">
        <v>9</v>
      </c>
      <c r="C3" s="2">
        <v>15.25625</v>
      </c>
      <c r="D3" s="2">
        <v>17.143750000000001</v>
      </c>
      <c r="E3" s="2">
        <v>83.132968750000003</v>
      </c>
      <c r="F3" s="2">
        <v>75.95</v>
      </c>
      <c r="J3" s="19"/>
      <c r="K3" s="19"/>
      <c r="L3" s="19"/>
      <c r="M3" s="19"/>
      <c r="N3" s="19"/>
      <c r="O3" s="3"/>
      <c r="P3" s="8"/>
      <c r="Q3" s="11"/>
      <c r="R3" s="3"/>
      <c r="S3" s="8"/>
      <c r="T3" s="11"/>
      <c r="U3" s="3"/>
      <c r="V3" s="8"/>
    </row>
    <row r="4" spans="1:28" x14ac:dyDescent="0.2">
      <c r="A4" t="s">
        <v>10</v>
      </c>
      <c r="B4" t="s">
        <v>11</v>
      </c>
      <c r="C4" s="2">
        <v>26.756250000000001</v>
      </c>
      <c r="D4" s="2">
        <v>31.193750000000001</v>
      </c>
      <c r="E4" s="2">
        <v>113.43928124999999</v>
      </c>
      <c r="F4" s="2">
        <v>73.787499999999994</v>
      </c>
      <c r="J4" s="19"/>
      <c r="K4" s="19"/>
      <c r="L4" s="19"/>
      <c r="M4" s="19"/>
      <c r="N4" s="19"/>
      <c r="O4" s="3"/>
      <c r="P4" s="8"/>
      <c r="Q4" s="11"/>
      <c r="R4" s="3"/>
      <c r="S4" s="8"/>
      <c r="T4" s="11"/>
      <c r="U4" s="3"/>
      <c r="V4" s="8"/>
    </row>
    <row r="5" spans="1:28" x14ac:dyDescent="0.2">
      <c r="A5" t="s">
        <v>12</v>
      </c>
      <c r="B5" t="s">
        <v>11</v>
      </c>
      <c r="C5" s="2">
        <v>88.768749999999997</v>
      </c>
      <c r="D5" s="2">
        <v>144.16249999999999</v>
      </c>
      <c r="E5" s="2">
        <v>297.84406250000001</v>
      </c>
      <c r="F5" s="2">
        <v>52.825000000000003</v>
      </c>
      <c r="L5" s="3"/>
      <c r="M5" s="8"/>
      <c r="N5" s="8"/>
      <c r="O5" s="3"/>
      <c r="P5" s="8"/>
      <c r="Q5" s="11"/>
      <c r="R5" s="3"/>
      <c r="S5" s="8"/>
      <c r="T5" s="11"/>
      <c r="U5" s="3"/>
      <c r="V5" s="8"/>
    </row>
    <row r="6" spans="1:28" x14ac:dyDescent="0.2">
      <c r="A6" t="s">
        <v>13</v>
      </c>
      <c r="B6" t="s">
        <v>14</v>
      </c>
      <c r="C6" s="2">
        <v>9.4749999999999996</v>
      </c>
      <c r="D6" s="2">
        <v>11.518750000000001</v>
      </c>
      <c r="E6" s="2">
        <v>142.4788125</v>
      </c>
      <c r="F6" s="2">
        <v>75.349999999999994</v>
      </c>
      <c r="J6" s="20"/>
      <c r="K6" s="20"/>
      <c r="L6" s="20"/>
      <c r="M6" s="20"/>
      <c r="N6" s="20"/>
      <c r="O6" s="20"/>
      <c r="P6" s="20"/>
      <c r="Q6" s="20"/>
      <c r="R6" s="20"/>
      <c r="S6" s="20"/>
      <c r="T6" s="20"/>
      <c r="U6" s="20"/>
      <c r="V6" s="20"/>
      <c r="W6" s="20"/>
      <c r="X6" s="20"/>
      <c r="Y6" s="20"/>
      <c r="Z6" s="20"/>
      <c r="AA6" s="20"/>
      <c r="AB6" s="20"/>
    </row>
    <row r="7" spans="1:28" x14ac:dyDescent="0.2">
      <c r="A7" t="s">
        <v>15</v>
      </c>
      <c r="B7" t="s">
        <v>16</v>
      </c>
      <c r="C7" s="2">
        <v>13.85</v>
      </c>
      <c r="D7" s="2">
        <v>15.50625</v>
      </c>
      <c r="E7" s="2">
        <v>127.91265625</v>
      </c>
      <c r="F7" s="2">
        <v>74.862499999999997</v>
      </c>
      <c r="J7" s="20"/>
      <c r="K7" s="20"/>
      <c r="L7" s="20"/>
      <c r="M7" s="20"/>
      <c r="N7" s="20"/>
      <c r="O7" s="20"/>
      <c r="P7" s="20"/>
      <c r="Q7" s="20"/>
      <c r="R7" s="20"/>
      <c r="S7" s="20"/>
      <c r="T7" s="20"/>
      <c r="U7" s="20"/>
      <c r="V7" s="20"/>
      <c r="W7" s="20"/>
      <c r="X7" s="20"/>
      <c r="Y7" s="20"/>
      <c r="Z7" s="20"/>
      <c r="AA7" s="20"/>
      <c r="AB7" s="20"/>
    </row>
    <row r="8" spans="1:28" x14ac:dyDescent="0.2">
      <c r="A8" t="s">
        <v>17</v>
      </c>
      <c r="B8" t="s">
        <v>9</v>
      </c>
      <c r="C8" s="2">
        <v>19.03125</v>
      </c>
      <c r="D8" s="2">
        <v>21.393750000000001</v>
      </c>
      <c r="E8" s="2">
        <v>137.93993749999899</v>
      </c>
      <c r="F8" s="2">
        <v>72.987499999999997</v>
      </c>
      <c r="I8" s="17"/>
      <c r="J8" s="21"/>
      <c r="K8" s="21"/>
      <c r="L8" s="21"/>
      <c r="M8" s="21"/>
      <c r="N8" s="21"/>
      <c r="O8" s="21"/>
      <c r="P8" s="22"/>
      <c r="Q8" s="22"/>
      <c r="R8" s="3"/>
      <c r="S8" s="8"/>
      <c r="T8" s="11"/>
      <c r="U8" s="3"/>
      <c r="V8" s="8"/>
    </row>
    <row r="9" spans="1:28" x14ac:dyDescent="0.2">
      <c r="A9" t="s">
        <v>18</v>
      </c>
      <c r="B9" t="s">
        <v>19</v>
      </c>
      <c r="C9" s="2">
        <v>4.3125</v>
      </c>
      <c r="D9" s="2">
        <v>5.15625</v>
      </c>
      <c r="E9" s="2">
        <v>65.958593750000006</v>
      </c>
      <c r="F9" s="2">
        <v>81.112499999999997</v>
      </c>
      <c r="I9" s="17"/>
      <c r="J9" s="21"/>
      <c r="K9" s="21"/>
      <c r="L9" s="21"/>
      <c r="M9" s="21"/>
      <c r="N9" s="21"/>
      <c r="O9" s="21"/>
      <c r="P9" s="22"/>
      <c r="Q9" s="22"/>
      <c r="R9" s="3"/>
      <c r="S9" s="8"/>
      <c r="T9" s="11"/>
      <c r="U9" s="3"/>
      <c r="V9" s="8"/>
    </row>
    <row r="10" spans="1:28" x14ac:dyDescent="0.2">
      <c r="A10" t="s">
        <v>20</v>
      </c>
      <c r="B10" t="s">
        <v>21</v>
      </c>
      <c r="C10" s="2">
        <v>3.8125</v>
      </c>
      <c r="D10" s="2">
        <v>4.5999999999999996</v>
      </c>
      <c r="E10" s="2">
        <v>78.310500000000005</v>
      </c>
      <c r="F10" s="2">
        <v>79.974999999999994</v>
      </c>
      <c r="I10" s="17"/>
      <c r="J10" s="21"/>
      <c r="K10" s="21"/>
      <c r="L10" s="21"/>
      <c r="M10" s="21"/>
      <c r="N10" s="21"/>
      <c r="O10" s="21"/>
      <c r="P10" s="22"/>
      <c r="Q10" s="22"/>
      <c r="R10" s="3"/>
      <c r="S10" s="8"/>
      <c r="T10" s="11"/>
      <c r="U10" s="3"/>
      <c r="V10" s="8"/>
    </row>
    <row r="11" spans="1:28" ht="16" thickBot="1" x14ac:dyDescent="0.25">
      <c r="A11" t="s">
        <v>22</v>
      </c>
      <c r="B11" t="s">
        <v>7</v>
      </c>
      <c r="C11" s="2">
        <v>39.456249999999997</v>
      </c>
      <c r="D11" s="2">
        <v>46.337499999999999</v>
      </c>
      <c r="E11" s="2">
        <v>144.66434375</v>
      </c>
      <c r="F11" s="2">
        <v>69.724999999999994</v>
      </c>
      <c r="I11" s="17"/>
      <c r="J11" s="17"/>
      <c r="K11" s="17"/>
      <c r="L11" s="17"/>
      <c r="M11" s="17"/>
      <c r="N11" s="17"/>
      <c r="O11" s="17"/>
      <c r="P11" s="8"/>
      <c r="Q11" s="11"/>
      <c r="R11" s="3"/>
      <c r="S11" s="8"/>
      <c r="T11" s="11"/>
      <c r="U11" s="3"/>
      <c r="V11" s="8"/>
    </row>
    <row r="12" spans="1:28" x14ac:dyDescent="0.2">
      <c r="A12" t="s">
        <v>23</v>
      </c>
      <c r="B12" t="s">
        <v>14</v>
      </c>
      <c r="C12" s="2">
        <v>13.55</v>
      </c>
      <c r="D12" s="2">
        <v>15.8375</v>
      </c>
      <c r="E12" s="2">
        <v>173.48421875</v>
      </c>
      <c r="F12" s="2">
        <v>72.206249999999997</v>
      </c>
      <c r="I12" s="17"/>
      <c r="J12" s="5" t="s">
        <v>5</v>
      </c>
      <c r="K12" s="5"/>
      <c r="L12" s="5" t="s">
        <v>4</v>
      </c>
      <c r="M12" s="5"/>
      <c r="N12" s="5" t="s">
        <v>3</v>
      </c>
      <c r="O12" s="5"/>
      <c r="P12" s="5" t="s">
        <v>3</v>
      </c>
      <c r="Q12" s="5"/>
      <c r="R12" s="3"/>
      <c r="S12" s="8"/>
      <c r="T12" s="11"/>
      <c r="U12" s="3"/>
      <c r="V12" s="8"/>
    </row>
    <row r="13" spans="1:28" x14ac:dyDescent="0.2">
      <c r="A13" t="s">
        <v>24</v>
      </c>
      <c r="B13" t="s">
        <v>25</v>
      </c>
      <c r="C13" s="2">
        <v>8.3062500000000004</v>
      </c>
      <c r="D13" s="2">
        <v>9.6875</v>
      </c>
      <c r="E13" s="2">
        <v>75.388843750000007</v>
      </c>
      <c r="F13" s="2">
        <v>75.662499999999994</v>
      </c>
      <c r="I13" s="17"/>
      <c r="J13" s="3"/>
      <c r="K13" s="3"/>
      <c r="L13" s="3"/>
      <c r="M13" s="3"/>
      <c r="N13" s="3"/>
      <c r="O13" s="3"/>
      <c r="P13" s="3"/>
      <c r="Q13" s="3"/>
      <c r="R13" s="3"/>
      <c r="S13" s="8"/>
      <c r="T13" s="11"/>
      <c r="U13" s="3"/>
      <c r="V13" s="8"/>
    </row>
    <row r="14" spans="1:28" x14ac:dyDescent="0.2">
      <c r="A14" t="s">
        <v>26</v>
      </c>
      <c r="B14" t="s">
        <v>14</v>
      </c>
      <c r="C14" s="2">
        <v>13.9</v>
      </c>
      <c r="D14" s="2">
        <v>15.112500000000001</v>
      </c>
      <c r="E14" s="2">
        <v>112.06821875</v>
      </c>
      <c r="F14" s="2">
        <v>78.099999999999994</v>
      </c>
      <c r="I14" s="17"/>
      <c r="J14" s="3" t="s">
        <v>191</v>
      </c>
      <c r="K14" s="8">
        <v>68.908487215909105</v>
      </c>
      <c r="L14" s="3" t="s">
        <v>191</v>
      </c>
      <c r="M14" s="6">
        <v>192.16293164062489</v>
      </c>
      <c r="N14" s="3" t="s">
        <v>191</v>
      </c>
      <c r="O14" s="8">
        <v>42.693004261363626</v>
      </c>
      <c r="P14" s="3" t="s">
        <v>191</v>
      </c>
      <c r="Q14" s="8">
        <v>42.693004261363626</v>
      </c>
      <c r="R14" s="3"/>
      <c r="S14" s="8"/>
      <c r="T14" s="11"/>
      <c r="U14" s="3"/>
      <c r="V14" s="8"/>
    </row>
    <row r="15" spans="1:28" x14ac:dyDescent="0.2">
      <c r="A15" t="s">
        <v>27</v>
      </c>
      <c r="B15" t="s">
        <v>9</v>
      </c>
      <c r="C15" s="2">
        <v>5.7937500000000002</v>
      </c>
      <c r="D15" s="2">
        <v>7.5187499999999998</v>
      </c>
      <c r="E15" s="2">
        <v>223.07234374999999</v>
      </c>
      <c r="F15" s="2">
        <v>70.287499999999994</v>
      </c>
      <c r="I15" s="17"/>
      <c r="J15" s="3" t="s">
        <v>192</v>
      </c>
      <c r="K15" s="8">
        <v>0.69731730297175587</v>
      </c>
      <c r="L15" s="3" t="s">
        <v>192</v>
      </c>
      <c r="M15" s="6">
        <v>8.4721102963807269</v>
      </c>
      <c r="N15" s="3" t="s">
        <v>192</v>
      </c>
      <c r="O15" s="8">
        <v>3.2556711525628885</v>
      </c>
      <c r="P15" s="3" t="s">
        <v>192</v>
      </c>
      <c r="Q15" s="8">
        <v>3.2556711525628885</v>
      </c>
      <c r="R15" s="3"/>
      <c r="S15" s="8"/>
      <c r="T15" s="11"/>
      <c r="U15" s="3"/>
      <c r="V15" s="8"/>
    </row>
    <row r="16" spans="1:28" x14ac:dyDescent="0.2">
      <c r="A16" t="s">
        <v>28</v>
      </c>
      <c r="B16" t="s">
        <v>21</v>
      </c>
      <c r="C16" s="2">
        <v>3.9</v>
      </c>
      <c r="D16" s="2">
        <v>4.7562499999999996</v>
      </c>
      <c r="E16" s="2">
        <v>85.439687500000005</v>
      </c>
      <c r="F16" s="2">
        <v>79.55</v>
      </c>
      <c r="I16" s="17"/>
      <c r="J16" s="3" t="s">
        <v>193</v>
      </c>
      <c r="K16" s="8">
        <v>71.768750000000011</v>
      </c>
      <c r="L16" s="3" t="s">
        <v>193</v>
      </c>
      <c r="M16" s="6">
        <v>163.51340625</v>
      </c>
      <c r="N16" s="3" t="s">
        <v>193</v>
      </c>
      <c r="O16" s="8">
        <v>22.84375</v>
      </c>
      <c r="P16" s="3" t="s">
        <v>193</v>
      </c>
      <c r="Q16" s="8">
        <v>22.84375</v>
      </c>
      <c r="R16" s="3"/>
      <c r="S16" s="8"/>
      <c r="T16" s="11"/>
      <c r="U16" s="3"/>
      <c r="V16" s="8"/>
    </row>
    <row r="17" spans="1:22" x14ac:dyDescent="0.2">
      <c r="A17" t="s">
        <v>29</v>
      </c>
      <c r="B17" t="s">
        <v>14</v>
      </c>
      <c r="C17" s="2">
        <v>16.887499999999999</v>
      </c>
      <c r="D17" s="2">
        <v>19.743749999999999</v>
      </c>
      <c r="E17" s="2">
        <v>185.1233125</v>
      </c>
      <c r="F17" s="2">
        <v>71.174999999999997</v>
      </c>
      <c r="I17" s="17"/>
      <c r="J17" s="3" t="s">
        <v>194</v>
      </c>
      <c r="K17" s="8">
        <v>59.65625</v>
      </c>
      <c r="L17" s="3" t="s">
        <v>194</v>
      </c>
      <c r="M17" s="6" t="e">
        <v>#N/A</v>
      </c>
      <c r="N17" s="3" t="s">
        <v>194</v>
      </c>
      <c r="O17" s="8">
        <v>4.5999999999999996</v>
      </c>
      <c r="P17" s="3" t="s">
        <v>194</v>
      </c>
      <c r="Q17" s="8">
        <v>4.5999999999999996</v>
      </c>
      <c r="R17" s="11"/>
      <c r="S17" s="11"/>
      <c r="T17" s="11"/>
      <c r="U17" s="11"/>
      <c r="V17" s="11"/>
    </row>
    <row r="18" spans="1:22" x14ac:dyDescent="0.2">
      <c r="A18" t="s">
        <v>30</v>
      </c>
      <c r="B18" t="s">
        <v>11</v>
      </c>
      <c r="C18" s="2">
        <v>73.387500000000003</v>
      </c>
      <c r="D18" s="2">
        <v>115.86875000000001</v>
      </c>
      <c r="E18" s="2">
        <v>263.93262499999997</v>
      </c>
      <c r="F18" s="2">
        <v>58.206249999999997</v>
      </c>
      <c r="I18" s="17"/>
      <c r="J18" s="3" t="s">
        <v>195</v>
      </c>
      <c r="K18" s="8">
        <v>9.2509594151195707</v>
      </c>
      <c r="L18" s="3" t="s">
        <v>195</v>
      </c>
      <c r="M18" s="6">
        <v>112.39524414240621</v>
      </c>
      <c r="N18" s="3" t="s">
        <v>195</v>
      </c>
      <c r="O18" s="8">
        <v>43.19135861534005</v>
      </c>
      <c r="P18" s="3" t="s">
        <v>195</v>
      </c>
      <c r="Q18" s="8">
        <v>43.19135861534005</v>
      </c>
      <c r="R18" s="11"/>
      <c r="S18" s="11"/>
      <c r="T18" s="11"/>
      <c r="U18" s="11"/>
      <c r="V18" s="11"/>
    </row>
    <row r="19" spans="1:22" x14ac:dyDescent="0.2">
      <c r="A19" t="s">
        <v>31</v>
      </c>
      <c r="B19" t="s">
        <v>7</v>
      </c>
      <c r="C19" s="2">
        <v>40.34375</v>
      </c>
      <c r="D19" s="2">
        <v>51.537500000000001</v>
      </c>
      <c r="E19" s="2">
        <v>243.18621874999999</v>
      </c>
      <c r="F19" s="2">
        <v>66.456249999999997</v>
      </c>
      <c r="I19" s="17"/>
      <c r="J19" s="3" t="s">
        <v>196</v>
      </c>
      <c r="K19" s="8">
        <v>85.580250100189417</v>
      </c>
      <c r="L19" s="3" t="s">
        <v>196</v>
      </c>
      <c r="M19" s="6">
        <v>12632.690905831099</v>
      </c>
      <c r="N19" s="3" t="s">
        <v>196</v>
      </c>
      <c r="O19" s="8">
        <v>1865.4934590389091</v>
      </c>
      <c r="P19" s="3" t="s">
        <v>196</v>
      </c>
      <c r="Q19" s="8">
        <v>1865.4934590389091</v>
      </c>
      <c r="R19" s="11"/>
      <c r="S19" s="11"/>
      <c r="T19" s="11"/>
      <c r="U19" s="11"/>
      <c r="V19" s="11"/>
    </row>
    <row r="20" spans="1:22" x14ac:dyDescent="0.2">
      <c r="A20" t="s">
        <v>32</v>
      </c>
      <c r="B20" t="s">
        <v>16</v>
      </c>
      <c r="C20" s="2">
        <v>38.78125</v>
      </c>
      <c r="D20" s="2">
        <v>50.243749999999999</v>
      </c>
      <c r="E20" s="2">
        <v>210.68159374999999</v>
      </c>
      <c r="F20" s="2">
        <v>66.587500000000006</v>
      </c>
      <c r="I20" s="17"/>
      <c r="J20" s="3" t="s">
        <v>197</v>
      </c>
      <c r="K20" s="8">
        <v>-0.48614042816121206</v>
      </c>
      <c r="L20" s="3" t="s">
        <v>197</v>
      </c>
      <c r="M20" s="6">
        <v>1.1784525874887</v>
      </c>
      <c r="N20" s="3" t="s">
        <v>197</v>
      </c>
      <c r="O20" s="8">
        <v>0.4196567648618057</v>
      </c>
      <c r="P20" s="3" t="s">
        <v>197</v>
      </c>
      <c r="Q20" s="8">
        <v>0.4196567648618057</v>
      </c>
    </row>
    <row r="21" spans="1:22" x14ac:dyDescent="0.2">
      <c r="A21" t="s">
        <v>33</v>
      </c>
      <c r="B21" t="s">
        <v>9</v>
      </c>
      <c r="C21" s="2">
        <v>6.9937499999999897</v>
      </c>
      <c r="D21" s="2">
        <v>8.0187500000000007</v>
      </c>
      <c r="E21" s="2">
        <v>107.09218749999999</v>
      </c>
      <c r="F21" s="2">
        <v>75.631249999999994</v>
      </c>
      <c r="I21" s="17"/>
      <c r="J21" s="3" t="s">
        <v>198</v>
      </c>
      <c r="K21" s="8">
        <v>-0.70103216173206673</v>
      </c>
      <c r="L21" s="3" t="s">
        <v>198</v>
      </c>
      <c r="M21" s="6">
        <v>1.2068125451853107</v>
      </c>
      <c r="N21" s="3" t="s">
        <v>198</v>
      </c>
      <c r="O21" s="8">
        <v>1.2072094456738105</v>
      </c>
      <c r="P21" s="3" t="s">
        <v>198</v>
      </c>
      <c r="Q21" s="8">
        <v>1.2072094456738105</v>
      </c>
    </row>
    <row r="22" spans="1:22" x14ac:dyDescent="0.2">
      <c r="A22" t="s">
        <v>34</v>
      </c>
      <c r="B22" t="s">
        <v>11</v>
      </c>
      <c r="C22" s="2">
        <v>40.981250000000003</v>
      </c>
      <c r="D22" s="2">
        <v>61.95</v>
      </c>
      <c r="E22" s="2">
        <v>427.12349999999998</v>
      </c>
      <c r="F22" s="2">
        <v>57.037500000000001</v>
      </c>
      <c r="I22" s="17"/>
      <c r="J22" s="3" t="s">
        <v>199</v>
      </c>
      <c r="K22" s="8">
        <v>36.849999999999994</v>
      </c>
      <c r="L22" s="3" t="s">
        <v>199</v>
      </c>
      <c r="M22" s="6">
        <v>515.26400000000001</v>
      </c>
      <c r="N22" s="3" t="s">
        <v>199</v>
      </c>
      <c r="O22" s="8">
        <v>175.72499999999999</v>
      </c>
      <c r="P22" s="3" t="s">
        <v>199</v>
      </c>
      <c r="Q22" s="8">
        <v>175.72499999999999</v>
      </c>
    </row>
    <row r="23" spans="1:22" x14ac:dyDescent="0.2">
      <c r="A23" t="s">
        <v>35</v>
      </c>
      <c r="B23" t="s">
        <v>16</v>
      </c>
      <c r="C23" s="2">
        <v>20.262499999999999</v>
      </c>
      <c r="D23" s="2">
        <v>22.8125</v>
      </c>
      <c r="E23" s="2">
        <v>162.59156250000001</v>
      </c>
      <c r="F23" s="2">
        <v>72.693749999999994</v>
      </c>
      <c r="I23" s="17"/>
      <c r="J23" s="3" t="s">
        <v>200</v>
      </c>
      <c r="K23" s="8">
        <v>45.606250000000003</v>
      </c>
      <c r="L23" s="3" t="s">
        <v>200</v>
      </c>
      <c r="M23" s="6">
        <v>57.710312500000001</v>
      </c>
      <c r="N23" s="3" t="s">
        <v>200</v>
      </c>
      <c r="O23" s="8">
        <v>3</v>
      </c>
      <c r="P23" s="3" t="s">
        <v>200</v>
      </c>
      <c r="Q23" s="8">
        <v>3</v>
      </c>
    </row>
    <row r="24" spans="1:22" x14ac:dyDescent="0.2">
      <c r="A24" t="s">
        <v>36</v>
      </c>
      <c r="B24" t="s">
        <v>7</v>
      </c>
      <c r="C24" s="2">
        <v>8.0124999999999993</v>
      </c>
      <c r="D24" s="2">
        <v>9.8625000000000007</v>
      </c>
      <c r="E24" s="2">
        <v>94.990718749999999</v>
      </c>
      <c r="F24" s="2">
        <v>74.3</v>
      </c>
      <c r="I24" s="17"/>
      <c r="J24" s="3" t="s">
        <v>201</v>
      </c>
      <c r="K24" s="8">
        <v>82.456249999999997</v>
      </c>
      <c r="L24" s="3" t="s">
        <v>201</v>
      </c>
      <c r="M24" s="6">
        <v>572.9743125</v>
      </c>
      <c r="N24" s="3" t="s">
        <v>201</v>
      </c>
      <c r="O24" s="8">
        <v>178.72499999999999</v>
      </c>
      <c r="P24" s="3" t="s">
        <v>201</v>
      </c>
      <c r="Q24" s="8">
        <v>178.72499999999999</v>
      </c>
    </row>
    <row r="25" spans="1:22" x14ac:dyDescent="0.2">
      <c r="A25" t="s">
        <v>37</v>
      </c>
      <c r="B25" t="s">
        <v>21</v>
      </c>
      <c r="C25" s="2">
        <v>10.225</v>
      </c>
      <c r="D25" s="2">
        <v>12.2875</v>
      </c>
      <c r="E25" s="2">
        <v>148.02265625000001</v>
      </c>
      <c r="F25" s="2">
        <v>73.150000000000006</v>
      </c>
      <c r="I25" s="17"/>
      <c r="J25" s="3" t="s">
        <v>202</v>
      </c>
      <c r="K25" s="8">
        <v>12127.893750000007</v>
      </c>
      <c r="L25" s="3" t="s">
        <v>202</v>
      </c>
      <c r="M25" s="6">
        <v>33820.67596874998</v>
      </c>
      <c r="N25" s="3" t="s">
        <v>202</v>
      </c>
      <c r="O25" s="8">
        <v>7513.9687499999982</v>
      </c>
      <c r="P25" s="3" t="s">
        <v>202</v>
      </c>
      <c r="Q25" s="8">
        <v>7513.9687499999982</v>
      </c>
    </row>
    <row r="26" spans="1:22" x14ac:dyDescent="0.2">
      <c r="A26" t="s">
        <v>38</v>
      </c>
      <c r="B26" t="s">
        <v>11</v>
      </c>
      <c r="C26" s="2">
        <v>74.762500000000003</v>
      </c>
      <c r="D26" s="2">
        <v>138.26875000000001</v>
      </c>
      <c r="E26" s="2">
        <v>293.67631249999999</v>
      </c>
      <c r="F26" s="2">
        <v>55.2</v>
      </c>
      <c r="I26" s="17"/>
      <c r="J26" s="3" t="s">
        <v>203</v>
      </c>
      <c r="K26" s="8">
        <v>176</v>
      </c>
      <c r="L26" s="3" t="s">
        <v>203</v>
      </c>
      <c r="M26" s="6">
        <v>176</v>
      </c>
      <c r="N26" s="3" t="s">
        <v>203</v>
      </c>
      <c r="O26" s="8">
        <v>176</v>
      </c>
      <c r="P26" s="3" t="s">
        <v>203</v>
      </c>
      <c r="Q26" s="8">
        <v>176</v>
      </c>
    </row>
    <row r="27" spans="1:22" ht="16" thickBot="1" x14ac:dyDescent="0.25">
      <c r="A27" t="s">
        <v>39</v>
      </c>
      <c r="B27" t="s">
        <v>11</v>
      </c>
      <c r="C27" s="2">
        <v>69.393749999999997</v>
      </c>
      <c r="D27" s="2">
        <v>108.91249999999999</v>
      </c>
      <c r="E27" s="2">
        <v>330.92296875</v>
      </c>
      <c r="F27" s="2">
        <v>55.081249999999997</v>
      </c>
      <c r="J27" s="4" t="s">
        <v>204</v>
      </c>
      <c r="K27" s="9">
        <v>1.376234119081476</v>
      </c>
      <c r="L27" s="4" t="s">
        <v>204</v>
      </c>
      <c r="M27" s="7">
        <v>16.720662459989025</v>
      </c>
      <c r="N27" s="4" t="s">
        <v>204</v>
      </c>
      <c r="O27" s="9">
        <v>6.4254331587234983</v>
      </c>
      <c r="P27" s="4" t="s">
        <v>204</v>
      </c>
      <c r="Q27" s="9">
        <v>6.4254331587234983</v>
      </c>
    </row>
    <row r="28" spans="1:22" x14ac:dyDescent="0.2">
      <c r="A28" t="s">
        <v>40</v>
      </c>
      <c r="B28" t="s">
        <v>11</v>
      </c>
      <c r="C28" s="2">
        <v>23.006250000000001</v>
      </c>
      <c r="D28" s="2">
        <v>27.456250000000001</v>
      </c>
      <c r="E28" s="2">
        <v>136.74465624999999</v>
      </c>
      <c r="F28" s="2">
        <v>70.637500000000003</v>
      </c>
      <c r="U28" s="11"/>
      <c r="V28" s="11"/>
    </row>
    <row r="29" spans="1:22" x14ac:dyDescent="0.2">
      <c r="A29" t="s">
        <v>41</v>
      </c>
      <c r="B29" t="s">
        <v>7</v>
      </c>
      <c r="C29" s="2">
        <v>47.55</v>
      </c>
      <c r="D29" s="2">
        <v>58.712499999999999</v>
      </c>
      <c r="E29" s="2">
        <v>210.85571874999999</v>
      </c>
      <c r="F29" s="2">
        <v>64.400000000000006</v>
      </c>
      <c r="U29" s="12"/>
      <c r="V29" s="12"/>
    </row>
    <row r="30" spans="1:22" x14ac:dyDescent="0.2">
      <c r="A30" t="s">
        <v>42</v>
      </c>
      <c r="B30" t="s">
        <v>11</v>
      </c>
      <c r="C30" s="2">
        <v>73.043750000000003</v>
      </c>
      <c r="D30" s="2">
        <v>117.8625</v>
      </c>
      <c r="E30" s="2">
        <v>375.99250000000001</v>
      </c>
      <c r="F30" s="2">
        <v>54.03125</v>
      </c>
      <c r="U30" s="3"/>
      <c r="V30" s="3"/>
    </row>
    <row r="31" spans="1:22" x14ac:dyDescent="0.2">
      <c r="A31" t="s">
        <v>43</v>
      </c>
      <c r="B31" t="s">
        <v>44</v>
      </c>
      <c r="C31" s="2">
        <v>5.0687499999999996</v>
      </c>
      <c r="D31" s="2">
        <v>5.875</v>
      </c>
      <c r="E31" s="2">
        <v>72.634968749999999</v>
      </c>
      <c r="F31" s="2">
        <v>80.612499999999997</v>
      </c>
      <c r="U31" s="3"/>
      <c r="V31" s="3"/>
    </row>
    <row r="32" spans="1:22" x14ac:dyDescent="0.2">
      <c r="A32" t="s">
        <v>45</v>
      </c>
      <c r="B32" t="s">
        <v>11</v>
      </c>
      <c r="C32" s="2">
        <v>101.34375</v>
      </c>
      <c r="D32" s="2">
        <v>150.68125000000001</v>
      </c>
      <c r="E32" s="2">
        <v>493.01515625000002</v>
      </c>
      <c r="F32" s="2">
        <v>46.481250000000003</v>
      </c>
      <c r="U32" s="3"/>
      <c r="V32" s="3"/>
    </row>
    <row r="33" spans="1:22" x14ac:dyDescent="0.2">
      <c r="A33" t="s">
        <v>46</v>
      </c>
      <c r="B33" t="s">
        <v>11</v>
      </c>
      <c r="C33" s="2">
        <v>88.03125</v>
      </c>
      <c r="D33" s="2">
        <v>156.94374999999999</v>
      </c>
      <c r="E33" s="2">
        <v>391.25024999999999</v>
      </c>
      <c r="F33" s="2">
        <v>49.943750000000001</v>
      </c>
      <c r="U33" s="3"/>
      <c r="V33" s="3"/>
    </row>
    <row r="34" spans="1:22" x14ac:dyDescent="0.2">
      <c r="A34" t="s">
        <v>47</v>
      </c>
      <c r="B34" t="s">
        <v>16</v>
      </c>
      <c r="C34" s="2">
        <v>7.6749999999999998</v>
      </c>
      <c r="D34" s="2">
        <v>9.0250000000000004</v>
      </c>
      <c r="E34" s="2">
        <v>98.546531250000001</v>
      </c>
      <c r="F34" s="2">
        <v>78.143749999999997</v>
      </c>
      <c r="U34" s="3"/>
      <c r="V34" s="3"/>
    </row>
    <row r="35" spans="1:22" x14ac:dyDescent="0.2">
      <c r="A35" t="s">
        <v>48</v>
      </c>
      <c r="B35" t="s">
        <v>7</v>
      </c>
      <c r="C35" s="2">
        <v>16.96875</v>
      </c>
      <c r="D35" s="2">
        <v>21.1</v>
      </c>
      <c r="E35" s="2">
        <v>97.511562499999997</v>
      </c>
      <c r="F35" s="2">
        <v>73.6875</v>
      </c>
      <c r="U35" s="3"/>
      <c r="V35" s="3"/>
    </row>
    <row r="36" spans="1:22" x14ac:dyDescent="0.2">
      <c r="A36" t="s">
        <v>49</v>
      </c>
      <c r="B36" t="s">
        <v>16</v>
      </c>
      <c r="C36" s="2">
        <v>17.081250000000001</v>
      </c>
      <c r="D36" s="2">
        <v>19.993749999999999</v>
      </c>
      <c r="E36" s="2">
        <v>153.46740625000001</v>
      </c>
      <c r="F36" s="2">
        <v>74.8125</v>
      </c>
      <c r="U36" s="3"/>
      <c r="V36" s="3"/>
    </row>
    <row r="37" spans="1:22" x14ac:dyDescent="0.2">
      <c r="A37" t="s">
        <v>50</v>
      </c>
      <c r="B37" t="s">
        <v>11</v>
      </c>
      <c r="C37" s="2">
        <v>65.137500000000003</v>
      </c>
      <c r="D37" s="2">
        <v>89.268749999999997</v>
      </c>
      <c r="E37" s="2">
        <v>251.57609374999899</v>
      </c>
      <c r="F37" s="2">
        <v>61.143749999999997</v>
      </c>
      <c r="U37" s="3"/>
      <c r="V37" s="3"/>
    </row>
    <row r="38" spans="1:22" x14ac:dyDescent="0.2">
      <c r="A38" t="s">
        <v>51</v>
      </c>
      <c r="B38" t="s">
        <v>11</v>
      </c>
      <c r="C38" s="2">
        <v>89.481250000000003</v>
      </c>
      <c r="D38" s="2">
        <v>125.81874999999999</v>
      </c>
      <c r="E38" s="2">
        <v>298.78762499999999</v>
      </c>
      <c r="F38" s="2">
        <v>55.068750000000001</v>
      </c>
      <c r="U38" s="3"/>
      <c r="V38" s="3"/>
    </row>
    <row r="39" spans="1:22" x14ac:dyDescent="0.2">
      <c r="A39" t="s">
        <v>52</v>
      </c>
      <c r="B39" t="s">
        <v>11</v>
      </c>
      <c r="C39" s="2">
        <v>51.818750000000001</v>
      </c>
      <c r="D39" s="2">
        <v>77.618750000000006</v>
      </c>
      <c r="E39" s="2">
        <v>342.83490625000002</v>
      </c>
      <c r="F39" s="2">
        <v>57.731250000000003</v>
      </c>
      <c r="U39" s="3"/>
      <c r="V39" s="3"/>
    </row>
    <row r="40" spans="1:22" x14ac:dyDescent="0.2">
      <c r="A40" t="s">
        <v>53</v>
      </c>
      <c r="B40" t="s">
        <v>14</v>
      </c>
      <c r="C40" s="2">
        <v>9.3937500000000007</v>
      </c>
      <c r="D40" s="2">
        <v>10.93125</v>
      </c>
      <c r="E40" s="2">
        <v>93.493187500000005</v>
      </c>
      <c r="F40" s="2">
        <v>78.46875</v>
      </c>
      <c r="U40" s="3"/>
      <c r="V40" s="3"/>
    </row>
    <row r="41" spans="1:22" x14ac:dyDescent="0.2">
      <c r="A41" t="s">
        <v>54</v>
      </c>
      <c r="B41" t="s">
        <v>11</v>
      </c>
      <c r="C41" s="2">
        <v>80.231250000000003</v>
      </c>
      <c r="D41" s="2">
        <v>116.46875</v>
      </c>
      <c r="E41" s="2">
        <v>432.7494375</v>
      </c>
      <c r="F41" s="2">
        <v>51.95</v>
      </c>
      <c r="U41" s="3"/>
      <c r="V41" s="3"/>
    </row>
    <row r="42" spans="1:22" x14ac:dyDescent="0.2">
      <c r="A42" t="s">
        <v>55</v>
      </c>
      <c r="B42" t="s">
        <v>21</v>
      </c>
      <c r="C42" s="2">
        <v>5.3812499999999996</v>
      </c>
      <c r="D42" s="2">
        <v>6.2625000000000002</v>
      </c>
      <c r="E42" s="2">
        <v>107.001625</v>
      </c>
      <c r="F42" s="2">
        <v>75.8125</v>
      </c>
      <c r="U42" s="3"/>
      <c r="V42" s="3"/>
    </row>
    <row r="43" spans="1:22" x14ac:dyDescent="0.2">
      <c r="A43" t="s">
        <v>56</v>
      </c>
      <c r="B43" t="s">
        <v>14</v>
      </c>
      <c r="C43" s="2">
        <v>5.5687499999999996</v>
      </c>
      <c r="D43" s="2">
        <v>6.9874999999999998</v>
      </c>
      <c r="E43" s="2">
        <v>98.993968749999993</v>
      </c>
      <c r="F43" s="2">
        <v>77.893749999999997</v>
      </c>
      <c r="U43" s="3"/>
      <c r="V43" s="3"/>
    </row>
    <row r="44" spans="1:22" x14ac:dyDescent="0.2">
      <c r="A44" t="s">
        <v>57</v>
      </c>
      <c r="B44" t="s">
        <v>21</v>
      </c>
      <c r="C44" s="2">
        <v>3.5249999999999999</v>
      </c>
      <c r="D44" s="2">
        <v>4.1500000000000004</v>
      </c>
      <c r="E44" s="2">
        <v>60.448281250000001</v>
      </c>
      <c r="F44" s="2">
        <v>79.081249999999997</v>
      </c>
      <c r="U44" s="11"/>
      <c r="V44" s="11"/>
    </row>
    <row r="45" spans="1:22" x14ac:dyDescent="0.2">
      <c r="A45" t="s">
        <v>58</v>
      </c>
      <c r="B45" t="s">
        <v>21</v>
      </c>
      <c r="C45" s="2">
        <v>3.25</v>
      </c>
      <c r="D45" s="2">
        <v>4</v>
      </c>
      <c r="E45" s="2">
        <v>104.33340625</v>
      </c>
      <c r="F45" s="2">
        <v>76.78125</v>
      </c>
    </row>
    <row r="46" spans="1:22" x14ac:dyDescent="0.2">
      <c r="A46" t="s">
        <v>59</v>
      </c>
      <c r="B46" t="s">
        <v>21</v>
      </c>
      <c r="C46" s="2">
        <v>3.9375</v>
      </c>
      <c r="D46" s="2">
        <v>4.6812500000000004</v>
      </c>
      <c r="E46" s="2">
        <v>86.872562500000001</v>
      </c>
      <c r="F46" s="2">
        <v>78.543750000000003</v>
      </c>
    </row>
    <row r="47" spans="1:22" x14ac:dyDescent="0.2">
      <c r="A47" t="s">
        <v>60</v>
      </c>
      <c r="B47" t="s">
        <v>11</v>
      </c>
      <c r="C47" s="2">
        <v>66.987499999999997</v>
      </c>
      <c r="D47" s="2">
        <v>82.868749999999906</v>
      </c>
      <c r="E47" s="2">
        <v>288.27968750000002</v>
      </c>
      <c r="F47" s="2">
        <v>59.487499999999997</v>
      </c>
    </row>
    <row r="48" spans="1:22" x14ac:dyDescent="0.2">
      <c r="A48" t="s">
        <v>61</v>
      </c>
      <c r="B48" t="s">
        <v>14</v>
      </c>
      <c r="C48" s="2">
        <v>29.71875</v>
      </c>
      <c r="D48" s="2">
        <v>36.274999999999999</v>
      </c>
      <c r="E48" s="2">
        <v>174.18625</v>
      </c>
      <c r="F48" s="2">
        <v>71.381249999999994</v>
      </c>
    </row>
    <row r="49" spans="1:6" x14ac:dyDescent="0.2">
      <c r="A49" t="s">
        <v>62</v>
      </c>
      <c r="B49" t="s">
        <v>16</v>
      </c>
      <c r="C49" s="2">
        <v>18.3125</v>
      </c>
      <c r="D49" s="2">
        <v>21.543749999999999</v>
      </c>
      <c r="E49" s="2">
        <v>140.41896875</v>
      </c>
      <c r="F49" s="2">
        <v>74.556250000000006</v>
      </c>
    </row>
    <row r="50" spans="1:6" x14ac:dyDescent="0.2">
      <c r="A50" t="s">
        <v>63</v>
      </c>
      <c r="B50" t="s">
        <v>11</v>
      </c>
      <c r="C50" s="2">
        <v>27.181249999999999</v>
      </c>
      <c r="D50" s="2">
        <v>33.006250000000001</v>
      </c>
      <c r="E50" s="2">
        <v>164.43240625000001</v>
      </c>
      <c r="F50" s="2">
        <v>69.912499999999994</v>
      </c>
    </row>
    <row r="51" spans="1:6" x14ac:dyDescent="0.2">
      <c r="A51" t="s">
        <v>64</v>
      </c>
      <c r="B51" t="s">
        <v>14</v>
      </c>
      <c r="C51" s="2">
        <v>19.331250000000001</v>
      </c>
      <c r="D51" s="2">
        <v>22.875</v>
      </c>
      <c r="E51" s="2">
        <v>201.79106250000001</v>
      </c>
      <c r="F51" s="2">
        <v>70.662499999999994</v>
      </c>
    </row>
    <row r="52" spans="1:6" x14ac:dyDescent="0.2">
      <c r="A52" t="s">
        <v>65</v>
      </c>
      <c r="B52" t="s">
        <v>11</v>
      </c>
      <c r="C52" s="2">
        <v>86.568749999999994</v>
      </c>
      <c r="D52" s="2">
        <v>123.09375</v>
      </c>
      <c r="E52" s="2">
        <v>331.33331249999998</v>
      </c>
      <c r="F52" s="2">
        <v>55.131250000000001</v>
      </c>
    </row>
    <row r="53" spans="1:6" x14ac:dyDescent="0.2">
      <c r="A53" t="s">
        <v>66</v>
      </c>
      <c r="B53" t="s">
        <v>11</v>
      </c>
      <c r="C53" s="2">
        <v>43.287500000000001</v>
      </c>
      <c r="D53" s="2">
        <v>62.59375</v>
      </c>
      <c r="E53" s="2">
        <v>314.23787499999997</v>
      </c>
      <c r="F53" s="2">
        <v>60.28125</v>
      </c>
    </row>
    <row r="54" spans="1:6" x14ac:dyDescent="0.2">
      <c r="A54" t="s">
        <v>67</v>
      </c>
      <c r="B54" t="s">
        <v>21</v>
      </c>
      <c r="C54" s="2">
        <v>4.90625</v>
      </c>
      <c r="D54" s="2">
        <v>6.2249999999999996</v>
      </c>
      <c r="E54" s="2">
        <v>167.416875</v>
      </c>
      <c r="F54" s="2">
        <v>73.818749999999994</v>
      </c>
    </row>
    <row r="55" spans="1:6" x14ac:dyDescent="0.2">
      <c r="A55" t="s">
        <v>68</v>
      </c>
      <c r="B55" t="s">
        <v>11</v>
      </c>
      <c r="C55" s="2">
        <v>59.518749999999997</v>
      </c>
      <c r="D55" s="2">
        <v>95.106250000000003</v>
      </c>
      <c r="E55" s="2">
        <v>539.56581249999999</v>
      </c>
      <c r="F55" s="2">
        <v>46.693750000000001</v>
      </c>
    </row>
    <row r="56" spans="1:6" x14ac:dyDescent="0.2">
      <c r="A56" t="s">
        <v>69</v>
      </c>
      <c r="B56" t="s">
        <v>11</v>
      </c>
      <c r="C56" s="2">
        <v>62.981250000000003</v>
      </c>
      <c r="D56" s="2">
        <v>97.424999999999997</v>
      </c>
      <c r="E56" s="2">
        <v>304.33171874999999</v>
      </c>
      <c r="F56" s="2">
        <v>58.768749999999997</v>
      </c>
    </row>
    <row r="57" spans="1:6" x14ac:dyDescent="0.2">
      <c r="A57" t="s">
        <v>70</v>
      </c>
      <c r="B57" t="s">
        <v>19</v>
      </c>
      <c r="C57" s="2">
        <v>19.793749999999999</v>
      </c>
      <c r="D57" s="2">
        <v>23.3</v>
      </c>
      <c r="E57" s="2">
        <v>203.28853125000001</v>
      </c>
      <c r="F57" s="2">
        <v>66.481250000000003</v>
      </c>
    </row>
    <row r="58" spans="1:6" x14ac:dyDescent="0.2">
      <c r="A58" t="s">
        <v>71</v>
      </c>
      <c r="B58" t="s">
        <v>21</v>
      </c>
      <c r="C58" s="2">
        <v>2.7749999999999999</v>
      </c>
      <c r="D58" s="2">
        <v>3.3937499999999998</v>
      </c>
      <c r="E58" s="2">
        <v>89.677781249999995</v>
      </c>
      <c r="F58" s="2">
        <v>79.5</v>
      </c>
    </row>
    <row r="59" spans="1:6" x14ac:dyDescent="0.2">
      <c r="A59" t="s">
        <v>72</v>
      </c>
      <c r="B59" t="s">
        <v>21</v>
      </c>
      <c r="C59" s="2">
        <v>3.34375</v>
      </c>
      <c r="D59" s="2">
        <v>4.5374999999999996</v>
      </c>
      <c r="E59" s="2">
        <v>87.903781249999994</v>
      </c>
      <c r="F59" s="2">
        <v>80.912499999999994</v>
      </c>
    </row>
    <row r="60" spans="1:6" x14ac:dyDescent="0.2">
      <c r="A60" t="s">
        <v>73</v>
      </c>
      <c r="B60" t="s">
        <v>11</v>
      </c>
      <c r="C60" s="2">
        <v>44.662500000000001</v>
      </c>
      <c r="D60" s="2">
        <v>67.431250000000006</v>
      </c>
      <c r="E60" s="2">
        <v>290.99981250000002</v>
      </c>
      <c r="F60" s="2">
        <v>60.35</v>
      </c>
    </row>
    <row r="61" spans="1:6" x14ac:dyDescent="0.2">
      <c r="A61" t="s">
        <v>74</v>
      </c>
      <c r="B61" t="s">
        <v>11</v>
      </c>
      <c r="C61" s="2">
        <v>49.8125</v>
      </c>
      <c r="D61" s="2">
        <v>83.8</v>
      </c>
      <c r="E61" s="2">
        <v>281.35596874999999</v>
      </c>
      <c r="F61" s="2">
        <v>58.681249999999999</v>
      </c>
    </row>
    <row r="62" spans="1:6" x14ac:dyDescent="0.2">
      <c r="A62" t="s">
        <v>75</v>
      </c>
      <c r="B62" t="s">
        <v>9</v>
      </c>
      <c r="C62" s="2">
        <v>18.0625</v>
      </c>
      <c r="D62" s="2">
        <v>20.381250000000001</v>
      </c>
      <c r="E62" s="2">
        <v>170.07196875</v>
      </c>
      <c r="F62" s="2">
        <v>71.15625</v>
      </c>
    </row>
    <row r="63" spans="1:6" x14ac:dyDescent="0.2">
      <c r="A63" t="s">
        <v>76</v>
      </c>
      <c r="B63" t="s">
        <v>21</v>
      </c>
      <c r="C63" s="2">
        <v>3.7312500000000002</v>
      </c>
      <c r="D63" s="2">
        <v>4.5187499999999998</v>
      </c>
      <c r="E63" s="2">
        <v>81.360343749999998</v>
      </c>
      <c r="F63" s="2">
        <v>79.474999999999994</v>
      </c>
    </row>
    <row r="64" spans="1:6" x14ac:dyDescent="0.2">
      <c r="A64" t="s">
        <v>77</v>
      </c>
      <c r="B64" t="s">
        <v>21</v>
      </c>
      <c r="C64" s="2">
        <v>4.0250000000000004</v>
      </c>
      <c r="D64" s="2">
        <v>4.6062500000000002</v>
      </c>
      <c r="E64" s="2">
        <v>76.727000000000004</v>
      </c>
      <c r="F64" s="2">
        <v>79.762500000000003</v>
      </c>
    </row>
    <row r="65" spans="1:6" x14ac:dyDescent="0.2">
      <c r="A65" t="s">
        <v>78</v>
      </c>
      <c r="B65" t="s">
        <v>14</v>
      </c>
      <c r="C65" s="2">
        <v>13.00625</v>
      </c>
      <c r="D65" s="2">
        <v>15.15625</v>
      </c>
      <c r="E65" s="2">
        <v>159.1449375</v>
      </c>
      <c r="F65" s="2">
        <v>72.849999999999994</v>
      </c>
    </row>
    <row r="66" spans="1:6" x14ac:dyDescent="0.2">
      <c r="A66" t="s">
        <v>79</v>
      </c>
      <c r="B66" t="s">
        <v>14</v>
      </c>
      <c r="C66" s="2">
        <v>31.71875</v>
      </c>
      <c r="D66" s="2">
        <v>39.174999999999997</v>
      </c>
      <c r="E66" s="2">
        <v>185.32374999999999</v>
      </c>
      <c r="F66" s="2">
        <v>70.618750000000006</v>
      </c>
    </row>
    <row r="67" spans="1:6" x14ac:dyDescent="0.2">
      <c r="A67" t="s">
        <v>80</v>
      </c>
      <c r="B67" t="s">
        <v>11</v>
      </c>
      <c r="C67" s="2">
        <v>80.674999999999997</v>
      </c>
      <c r="D67" s="2">
        <v>129.08750000000001</v>
      </c>
      <c r="E67" s="2">
        <v>303.28071875000001</v>
      </c>
      <c r="F67" s="2">
        <v>55.106250000000003</v>
      </c>
    </row>
    <row r="68" spans="1:6" x14ac:dyDescent="0.2">
      <c r="A68" t="s">
        <v>81</v>
      </c>
      <c r="B68" t="s">
        <v>11</v>
      </c>
      <c r="C68" s="2">
        <v>81.418750000000003</v>
      </c>
      <c r="D68" s="2">
        <v>130.56874999999999</v>
      </c>
      <c r="E68" s="2">
        <v>291.87390625</v>
      </c>
      <c r="F68" s="2">
        <v>53.524999999999999</v>
      </c>
    </row>
    <row r="69" spans="1:6" x14ac:dyDescent="0.2">
      <c r="A69" t="s">
        <v>82</v>
      </c>
      <c r="B69" t="s">
        <v>16</v>
      </c>
      <c r="C69" s="2">
        <v>32.049999999999997</v>
      </c>
      <c r="D69" s="2">
        <v>39.512500000000003</v>
      </c>
      <c r="E69" s="2">
        <v>220.07425000000001</v>
      </c>
      <c r="F69" s="2">
        <v>67.331249999999997</v>
      </c>
    </row>
    <row r="70" spans="1:6" x14ac:dyDescent="0.2">
      <c r="A70" t="s">
        <v>83</v>
      </c>
      <c r="B70" t="s">
        <v>14</v>
      </c>
      <c r="C70" s="2">
        <v>65.243750000000006</v>
      </c>
      <c r="D70" s="2">
        <v>92.887500000000003</v>
      </c>
      <c r="E70" s="2">
        <v>275.16796875</v>
      </c>
      <c r="F70" s="2">
        <v>59.65625</v>
      </c>
    </row>
    <row r="71" spans="1:6" x14ac:dyDescent="0.2">
      <c r="A71" t="s">
        <v>84</v>
      </c>
      <c r="B71" t="s">
        <v>14</v>
      </c>
      <c r="C71" s="2">
        <v>22.506250000000001</v>
      </c>
      <c r="D71" s="2">
        <v>26.84375</v>
      </c>
      <c r="E71" s="2">
        <v>158.35918749999999</v>
      </c>
      <c r="F71" s="2">
        <v>72.65625</v>
      </c>
    </row>
    <row r="72" spans="1:6" x14ac:dyDescent="0.2">
      <c r="A72" t="s">
        <v>85</v>
      </c>
      <c r="B72" t="s">
        <v>21</v>
      </c>
      <c r="C72" s="2">
        <v>5.96875</v>
      </c>
      <c r="D72" s="2">
        <v>7.0562500000000004</v>
      </c>
      <c r="E72" s="2">
        <v>164.95037500000001</v>
      </c>
      <c r="F72" s="2">
        <v>73.643749999999997</v>
      </c>
    </row>
    <row r="73" spans="1:6" x14ac:dyDescent="0.2">
      <c r="A73" t="s">
        <v>86</v>
      </c>
      <c r="B73" t="s">
        <v>9</v>
      </c>
      <c r="C73" s="2">
        <v>2.4125000000000001</v>
      </c>
      <c r="D73" s="2">
        <v>3.03125</v>
      </c>
      <c r="E73" s="2">
        <v>59.145781249999999</v>
      </c>
      <c r="F73" s="2">
        <v>81.575000000000003</v>
      </c>
    </row>
    <row r="74" spans="1:6" x14ac:dyDescent="0.2">
      <c r="A74" t="s">
        <v>87</v>
      </c>
      <c r="B74" t="s">
        <v>7</v>
      </c>
      <c r="C74" s="2">
        <v>50.5</v>
      </c>
      <c r="D74" s="2">
        <v>66.65625</v>
      </c>
      <c r="E74" s="2">
        <v>199.50303124999999</v>
      </c>
      <c r="F74" s="2">
        <v>65.587500000000006</v>
      </c>
    </row>
    <row r="75" spans="1:6" x14ac:dyDescent="0.2">
      <c r="A75" t="s">
        <v>88</v>
      </c>
      <c r="B75" t="s">
        <v>7</v>
      </c>
      <c r="C75" s="2">
        <v>31.306249999999999</v>
      </c>
      <c r="D75" s="2">
        <v>38.78125</v>
      </c>
      <c r="E75" s="2">
        <v>186.00800000000001</v>
      </c>
      <c r="F75" s="2">
        <v>68.268749999999997</v>
      </c>
    </row>
    <row r="76" spans="1:6" x14ac:dyDescent="0.2">
      <c r="A76" t="s">
        <v>89</v>
      </c>
      <c r="B76" t="s">
        <v>25</v>
      </c>
      <c r="C76" s="2">
        <v>20.043749999999999</v>
      </c>
      <c r="D76" s="2">
        <v>23.8</v>
      </c>
      <c r="E76" s="2">
        <v>118.19478125000001</v>
      </c>
      <c r="F76" s="2">
        <v>72.96875</v>
      </c>
    </row>
    <row r="77" spans="1:6" x14ac:dyDescent="0.2">
      <c r="A77" t="s">
        <v>90</v>
      </c>
      <c r="B77" t="s">
        <v>21</v>
      </c>
      <c r="C77" s="2">
        <v>4.1937499999999996</v>
      </c>
      <c r="D77" s="2">
        <v>4.95</v>
      </c>
      <c r="E77" s="2">
        <v>75.157281249999997</v>
      </c>
      <c r="F77" s="2">
        <v>79.481250000000003</v>
      </c>
    </row>
    <row r="78" spans="1:6" x14ac:dyDescent="0.2">
      <c r="A78" t="s">
        <v>91</v>
      </c>
      <c r="B78" t="s">
        <v>25</v>
      </c>
      <c r="C78" s="2">
        <v>4.1687500000000002</v>
      </c>
      <c r="D78" s="2">
        <v>5.1687500000000002</v>
      </c>
      <c r="E78" s="2">
        <v>65.661812499999996</v>
      </c>
      <c r="F78" s="2">
        <v>80.793750000000003</v>
      </c>
    </row>
    <row r="79" spans="1:6" x14ac:dyDescent="0.2">
      <c r="A79" t="s">
        <v>92</v>
      </c>
      <c r="B79" t="s">
        <v>21</v>
      </c>
      <c r="C79" s="2">
        <v>3.65625</v>
      </c>
      <c r="D79" s="2">
        <v>4.3125</v>
      </c>
      <c r="E79" s="2">
        <v>62.063968750000001</v>
      </c>
      <c r="F79" s="2">
        <v>81.387500000000003</v>
      </c>
    </row>
    <row r="80" spans="1:6" x14ac:dyDescent="0.2">
      <c r="A80" t="s">
        <v>93</v>
      </c>
      <c r="B80" t="s">
        <v>14</v>
      </c>
      <c r="C80" s="2">
        <v>16.181249999999999</v>
      </c>
      <c r="D80" s="2">
        <v>18.90625</v>
      </c>
      <c r="E80" s="2">
        <v>148.41737499999999</v>
      </c>
      <c r="F80" s="2">
        <v>74.068749999999994</v>
      </c>
    </row>
    <row r="81" spans="1:6" x14ac:dyDescent="0.2">
      <c r="A81" t="s">
        <v>94</v>
      </c>
      <c r="B81" t="s">
        <v>7</v>
      </c>
      <c r="C81" s="2">
        <v>2.5750000000000002</v>
      </c>
      <c r="D81" s="2">
        <v>3.5062500000000001</v>
      </c>
      <c r="E81" s="2">
        <v>64.519093749999996</v>
      </c>
      <c r="F81" s="2">
        <v>82.456249999999997</v>
      </c>
    </row>
    <row r="82" spans="1:6" x14ac:dyDescent="0.2">
      <c r="A82" t="s">
        <v>95</v>
      </c>
      <c r="B82" t="s">
        <v>25</v>
      </c>
      <c r="C82" s="2">
        <v>18.53125</v>
      </c>
      <c r="D82" s="2">
        <v>21.793749999999999</v>
      </c>
      <c r="E82" s="2">
        <v>119.65712499999999</v>
      </c>
      <c r="F82" s="2">
        <v>72.987499999999997</v>
      </c>
    </row>
    <row r="83" spans="1:6" x14ac:dyDescent="0.2">
      <c r="A83" t="s">
        <v>96</v>
      </c>
      <c r="B83" t="s">
        <v>7</v>
      </c>
      <c r="C83" s="2">
        <v>22.918749999999999</v>
      </c>
      <c r="D83" s="2">
        <v>26.043749999999999</v>
      </c>
      <c r="E83" s="2">
        <v>250.07</v>
      </c>
      <c r="F83" s="2">
        <v>67.731250000000003</v>
      </c>
    </row>
    <row r="84" spans="1:6" x14ac:dyDescent="0.2">
      <c r="A84" t="s">
        <v>97</v>
      </c>
      <c r="B84" t="s">
        <v>11</v>
      </c>
      <c r="C84" s="2">
        <v>45.087499999999999</v>
      </c>
      <c r="D84" s="2">
        <v>69.212500000000006</v>
      </c>
      <c r="E84" s="2">
        <v>347.53603125000001</v>
      </c>
      <c r="F84" s="2">
        <v>57.774999999999999</v>
      </c>
    </row>
    <row r="85" spans="1:6" x14ac:dyDescent="0.2">
      <c r="A85" t="s">
        <v>98</v>
      </c>
      <c r="B85" t="s">
        <v>19</v>
      </c>
      <c r="C85" s="2">
        <v>48.95</v>
      </c>
      <c r="D85" s="2">
        <v>63.943750000000001</v>
      </c>
      <c r="E85" s="2">
        <v>210.32921875</v>
      </c>
      <c r="F85" s="2">
        <v>65.162499999999994</v>
      </c>
    </row>
    <row r="86" spans="1:6" x14ac:dyDescent="0.2">
      <c r="A86" t="s">
        <v>99</v>
      </c>
      <c r="B86" t="s">
        <v>25</v>
      </c>
      <c r="C86" s="2">
        <v>9.2437500000000004</v>
      </c>
      <c r="D86" s="2">
        <v>10.762499999999999</v>
      </c>
      <c r="E86" s="2">
        <v>74.596593749999997</v>
      </c>
      <c r="F86" s="2">
        <v>74.018749999999997</v>
      </c>
    </row>
    <row r="87" spans="1:6" x14ac:dyDescent="0.2">
      <c r="A87" t="s">
        <v>100</v>
      </c>
      <c r="B87" t="s">
        <v>7</v>
      </c>
      <c r="C87" s="2">
        <v>30.412500000000001</v>
      </c>
      <c r="D87" s="2">
        <v>34.881250000000001</v>
      </c>
      <c r="E87" s="2">
        <v>205.739375</v>
      </c>
      <c r="F87" s="2">
        <v>68.962500000000006</v>
      </c>
    </row>
    <row r="88" spans="1:6" x14ac:dyDescent="0.2">
      <c r="A88" t="s">
        <v>101</v>
      </c>
      <c r="B88" t="s">
        <v>7</v>
      </c>
      <c r="C88" s="2">
        <v>58.181249999999999</v>
      </c>
      <c r="D88" s="2">
        <v>78.443749999999994</v>
      </c>
      <c r="E88" s="2">
        <v>231.730625</v>
      </c>
      <c r="F88" s="2">
        <v>62.875</v>
      </c>
    </row>
    <row r="89" spans="1:6" x14ac:dyDescent="0.2">
      <c r="A89" t="s">
        <v>102</v>
      </c>
      <c r="B89" t="s">
        <v>21</v>
      </c>
      <c r="C89" s="2">
        <v>7.6374999999999904</v>
      </c>
      <c r="D89" s="2">
        <v>9.25</v>
      </c>
      <c r="E89" s="2">
        <v>198.878625</v>
      </c>
      <c r="F89" s="2">
        <v>72.356250000000003</v>
      </c>
    </row>
    <row r="90" spans="1:6" x14ac:dyDescent="0.2">
      <c r="A90" t="s">
        <v>103</v>
      </c>
      <c r="B90" t="s">
        <v>25</v>
      </c>
      <c r="C90" s="2">
        <v>10.95</v>
      </c>
      <c r="D90" s="2">
        <v>12.75625</v>
      </c>
      <c r="E90" s="2">
        <v>76.30496875</v>
      </c>
      <c r="F90" s="2">
        <v>77.3125</v>
      </c>
    </row>
    <row r="91" spans="1:6" x14ac:dyDescent="0.2">
      <c r="A91" t="s">
        <v>104</v>
      </c>
      <c r="B91" t="s">
        <v>11</v>
      </c>
      <c r="C91" s="2">
        <v>72.21875</v>
      </c>
      <c r="D91" s="2">
        <v>105.13124999999999</v>
      </c>
      <c r="E91" s="2">
        <v>571.07271875000004</v>
      </c>
      <c r="F91" s="2">
        <v>45.606250000000003</v>
      </c>
    </row>
    <row r="92" spans="1:6" x14ac:dyDescent="0.2">
      <c r="A92" t="s">
        <v>105</v>
      </c>
      <c r="B92" t="s">
        <v>11</v>
      </c>
      <c r="C92" s="2">
        <v>86.03125</v>
      </c>
      <c r="D92" s="2">
        <v>122.53749999999999</v>
      </c>
      <c r="E92" s="2">
        <v>287.74593750000003</v>
      </c>
      <c r="F92" s="2">
        <v>57.293750000000003</v>
      </c>
    </row>
    <row r="93" spans="1:6" x14ac:dyDescent="0.2">
      <c r="A93" t="s">
        <v>106</v>
      </c>
      <c r="B93" t="s">
        <v>11</v>
      </c>
      <c r="C93" s="2">
        <v>17.34375</v>
      </c>
      <c r="D93" s="2">
        <v>20.356249999999999</v>
      </c>
      <c r="E93" s="2">
        <v>136.8853125</v>
      </c>
      <c r="F93" s="2">
        <v>71.793750000000003</v>
      </c>
    </row>
    <row r="94" spans="1:6" x14ac:dyDescent="0.2">
      <c r="A94" t="s">
        <v>107</v>
      </c>
      <c r="B94" t="s">
        <v>21</v>
      </c>
      <c r="C94" s="2">
        <v>6.0875000000000004</v>
      </c>
      <c r="D94" s="2">
        <v>7.55</v>
      </c>
      <c r="E94" s="2">
        <v>199.74674999999999</v>
      </c>
      <c r="F94" s="2">
        <v>72.568749999999994</v>
      </c>
    </row>
    <row r="95" spans="1:6" x14ac:dyDescent="0.2">
      <c r="A95" t="s">
        <v>108</v>
      </c>
      <c r="B95" t="s">
        <v>21</v>
      </c>
      <c r="C95" s="2">
        <v>2.6875</v>
      </c>
      <c r="D95" s="2">
        <v>3.2749999999999999</v>
      </c>
      <c r="E95" s="2">
        <v>77.854531249999994</v>
      </c>
      <c r="F95" s="2">
        <v>79.9375</v>
      </c>
    </row>
    <row r="96" spans="1:6" x14ac:dyDescent="0.2">
      <c r="A96" t="s">
        <v>109</v>
      </c>
      <c r="B96" t="s">
        <v>11</v>
      </c>
      <c r="C96" s="2">
        <v>52.393749999999997</v>
      </c>
      <c r="D96" s="2">
        <v>78.625</v>
      </c>
      <c r="E96" s="2">
        <v>251.9008125</v>
      </c>
      <c r="F96" s="2">
        <v>62.225000000000001</v>
      </c>
    </row>
    <row r="97" spans="1:6" x14ac:dyDescent="0.2">
      <c r="A97" t="s">
        <v>110</v>
      </c>
      <c r="B97" t="s">
        <v>11</v>
      </c>
      <c r="C97" s="2">
        <v>61.6875</v>
      </c>
      <c r="D97" s="2">
        <v>102.325</v>
      </c>
      <c r="E97" s="2">
        <v>453.39359374999998</v>
      </c>
      <c r="F97" s="2">
        <v>52.287500000000001</v>
      </c>
    </row>
    <row r="98" spans="1:6" x14ac:dyDescent="0.2">
      <c r="A98" t="s">
        <v>111</v>
      </c>
      <c r="B98" t="s">
        <v>7</v>
      </c>
      <c r="C98" s="2">
        <v>7.15625</v>
      </c>
      <c r="D98" s="2">
        <v>8.3812499999999996</v>
      </c>
      <c r="E98" s="2">
        <v>128.30821875000001</v>
      </c>
      <c r="F98" s="2">
        <v>74.037499999999994</v>
      </c>
    </row>
    <row r="99" spans="1:6" x14ac:dyDescent="0.2">
      <c r="A99" t="s">
        <v>112</v>
      </c>
      <c r="B99" t="s">
        <v>7</v>
      </c>
      <c r="C99" s="2">
        <v>16.6875</v>
      </c>
      <c r="D99" s="2">
        <v>19.887499999999999</v>
      </c>
      <c r="E99" s="2">
        <v>89.863781250000002</v>
      </c>
      <c r="F99" s="2">
        <v>74.512500000000003</v>
      </c>
    </row>
    <row r="100" spans="1:6" x14ac:dyDescent="0.2">
      <c r="A100" t="s">
        <v>113</v>
      </c>
      <c r="B100" t="s">
        <v>11</v>
      </c>
      <c r="C100" s="2">
        <v>82.962499999999906</v>
      </c>
      <c r="D100" s="2">
        <v>144.73750000000001</v>
      </c>
      <c r="E100" s="2">
        <v>295.56159374999999</v>
      </c>
      <c r="F100" s="2">
        <v>53.356250000000003</v>
      </c>
    </row>
    <row r="101" spans="1:6" x14ac:dyDescent="0.2">
      <c r="A101" t="s">
        <v>114</v>
      </c>
      <c r="B101" t="s">
        <v>21</v>
      </c>
      <c r="C101" s="2">
        <v>6.0687499999999996</v>
      </c>
      <c r="D101" s="2">
        <v>6.9249999999999998</v>
      </c>
      <c r="E101" s="2">
        <v>57.710312500000001</v>
      </c>
      <c r="F101" s="2">
        <v>80.018749999999997</v>
      </c>
    </row>
    <row r="102" spans="1:6" x14ac:dyDescent="0.2">
      <c r="A102" t="s">
        <v>115</v>
      </c>
      <c r="B102" t="s">
        <v>11</v>
      </c>
      <c r="C102" s="2">
        <v>63.487499999999997</v>
      </c>
      <c r="D102" s="2">
        <v>100.53749999999999</v>
      </c>
      <c r="E102" s="2">
        <v>216.89168749999999</v>
      </c>
      <c r="F102" s="2">
        <v>62.0625</v>
      </c>
    </row>
    <row r="103" spans="1:6" x14ac:dyDescent="0.2">
      <c r="A103" t="s">
        <v>116</v>
      </c>
      <c r="B103" t="s">
        <v>11</v>
      </c>
      <c r="C103" s="2">
        <v>13.456250000000001</v>
      </c>
      <c r="D103" s="2">
        <v>15.55</v>
      </c>
      <c r="E103" s="2">
        <v>156.80553125</v>
      </c>
      <c r="F103" s="2">
        <v>72.849999999999994</v>
      </c>
    </row>
    <row r="104" spans="1:6" x14ac:dyDescent="0.2">
      <c r="A104" t="s">
        <v>117</v>
      </c>
      <c r="B104" t="s">
        <v>44</v>
      </c>
      <c r="C104" s="2">
        <v>18.231249999999999</v>
      </c>
      <c r="D104" s="2">
        <v>21.4375</v>
      </c>
      <c r="E104" s="2">
        <v>120.38296875</v>
      </c>
      <c r="F104" s="2">
        <v>75.012500000000003</v>
      </c>
    </row>
    <row r="105" spans="1:6" x14ac:dyDescent="0.2">
      <c r="A105" t="s">
        <v>118</v>
      </c>
      <c r="B105" t="s">
        <v>19</v>
      </c>
      <c r="C105" s="2">
        <v>27.78125</v>
      </c>
      <c r="D105" s="2">
        <v>33.662500000000001</v>
      </c>
      <c r="E105" s="2">
        <v>174.53996874999899</v>
      </c>
      <c r="F105" s="2">
        <v>65.96875</v>
      </c>
    </row>
    <row r="106" spans="1:6" x14ac:dyDescent="0.2">
      <c r="A106" t="s">
        <v>119</v>
      </c>
      <c r="B106" t="s">
        <v>9</v>
      </c>
      <c r="C106" s="2">
        <v>17.125</v>
      </c>
      <c r="D106" s="2">
        <v>20.112500000000001</v>
      </c>
      <c r="E106" s="2">
        <v>211.08600000000001</v>
      </c>
      <c r="F106" s="2">
        <v>68.924999999999997</v>
      </c>
    </row>
    <row r="107" spans="1:6" x14ac:dyDescent="0.2">
      <c r="A107" t="s">
        <v>120</v>
      </c>
      <c r="B107" t="s">
        <v>7</v>
      </c>
      <c r="C107" s="2">
        <v>29.162500000000001</v>
      </c>
      <c r="D107" s="2">
        <v>36.043750000000003</v>
      </c>
      <c r="E107" s="2">
        <v>241.1844375</v>
      </c>
      <c r="F107" s="2">
        <v>66.174999999999997</v>
      </c>
    </row>
    <row r="108" spans="1:6" x14ac:dyDescent="0.2">
      <c r="A108" t="s">
        <v>121</v>
      </c>
      <c r="B108" t="s">
        <v>9</v>
      </c>
      <c r="C108" s="2">
        <v>7.59375</v>
      </c>
      <c r="D108" s="2">
        <v>8.78125</v>
      </c>
      <c r="E108" s="2">
        <v>121.90746875000001</v>
      </c>
      <c r="F108" s="2">
        <v>74.756249999999994</v>
      </c>
    </row>
    <row r="109" spans="1:6" x14ac:dyDescent="0.2">
      <c r="A109" t="s">
        <v>122</v>
      </c>
      <c r="B109" t="s">
        <v>11</v>
      </c>
      <c r="C109" s="2">
        <v>31.40625</v>
      </c>
      <c r="D109" s="2">
        <v>36.818750000000001</v>
      </c>
      <c r="E109" s="2">
        <v>102.42874999999999</v>
      </c>
      <c r="F109" s="2">
        <v>72.768749999999997</v>
      </c>
    </row>
    <row r="110" spans="1:6" x14ac:dyDescent="0.2">
      <c r="A110" t="s">
        <v>123</v>
      </c>
      <c r="B110" t="s">
        <v>11</v>
      </c>
      <c r="C110" s="2">
        <v>81.125</v>
      </c>
      <c r="D110" s="2">
        <v>120.675</v>
      </c>
      <c r="E110" s="2">
        <v>397.74759375000002</v>
      </c>
      <c r="F110" s="2">
        <v>51.881250000000001</v>
      </c>
    </row>
    <row r="111" spans="1:6" x14ac:dyDescent="0.2">
      <c r="A111" t="s">
        <v>124</v>
      </c>
      <c r="B111" t="s">
        <v>7</v>
      </c>
      <c r="C111" s="2">
        <v>53.8</v>
      </c>
      <c r="D111" s="2">
        <v>72.337500000000006</v>
      </c>
      <c r="E111" s="2">
        <v>217.36915625</v>
      </c>
      <c r="F111" s="2">
        <v>62.7</v>
      </c>
    </row>
    <row r="112" spans="1:6" x14ac:dyDescent="0.2">
      <c r="A112" t="s">
        <v>125</v>
      </c>
      <c r="B112" t="s">
        <v>11</v>
      </c>
      <c r="C112" s="2">
        <v>38.987499999999997</v>
      </c>
      <c r="D112" s="2">
        <v>60.7</v>
      </c>
      <c r="E112" s="2">
        <v>434.25493749999998</v>
      </c>
      <c r="F112" s="2">
        <v>54.875</v>
      </c>
    </row>
    <row r="113" spans="1:6" x14ac:dyDescent="0.2">
      <c r="A113" t="s">
        <v>126</v>
      </c>
      <c r="B113" t="s">
        <v>7</v>
      </c>
      <c r="C113" s="2">
        <v>42.075000000000003</v>
      </c>
      <c r="D113" s="2">
        <v>54.043750000000003</v>
      </c>
      <c r="E113" s="2">
        <v>191.84340624999999</v>
      </c>
      <c r="F113" s="2">
        <v>66.28125</v>
      </c>
    </row>
    <row r="114" spans="1:6" x14ac:dyDescent="0.2">
      <c r="A114" t="s">
        <v>127</v>
      </c>
      <c r="B114" t="s">
        <v>21</v>
      </c>
      <c r="C114" s="2">
        <v>4.1437499999999998</v>
      </c>
      <c r="D114" s="2">
        <v>4.9437499999999996</v>
      </c>
      <c r="E114" s="2">
        <v>69.710156249999997</v>
      </c>
      <c r="F114" s="2">
        <v>79.96875</v>
      </c>
    </row>
    <row r="115" spans="1:6" x14ac:dyDescent="0.2">
      <c r="A115" t="s">
        <v>128</v>
      </c>
      <c r="B115" t="s">
        <v>19</v>
      </c>
      <c r="C115" s="2">
        <v>5.3</v>
      </c>
      <c r="D115" s="2">
        <v>6.3875000000000002</v>
      </c>
      <c r="E115" s="2">
        <v>74.433875</v>
      </c>
      <c r="F115" s="2">
        <v>80.1875</v>
      </c>
    </row>
    <row r="116" spans="1:6" x14ac:dyDescent="0.2">
      <c r="A116" t="s">
        <v>129</v>
      </c>
      <c r="B116" t="s">
        <v>14</v>
      </c>
      <c r="C116" s="2">
        <v>23.012499999999999</v>
      </c>
      <c r="D116" s="2">
        <v>27.5</v>
      </c>
      <c r="E116" s="2">
        <v>170.25853125</v>
      </c>
      <c r="F116" s="2">
        <v>71.743750000000006</v>
      </c>
    </row>
    <row r="117" spans="1:6" x14ac:dyDescent="0.2">
      <c r="A117" t="s">
        <v>130</v>
      </c>
      <c r="B117" t="s">
        <v>11</v>
      </c>
      <c r="C117" s="2">
        <v>71.5625</v>
      </c>
      <c r="D117" s="2">
        <v>150.4</v>
      </c>
      <c r="E117" s="2">
        <v>273.49696875000001</v>
      </c>
      <c r="F117" s="2">
        <v>55.368749999999999</v>
      </c>
    </row>
    <row r="118" spans="1:6" x14ac:dyDescent="0.2">
      <c r="A118" t="s">
        <v>131</v>
      </c>
      <c r="B118" t="s">
        <v>11</v>
      </c>
      <c r="C118" s="2">
        <v>91.206249999999997</v>
      </c>
      <c r="D118" s="2">
        <v>148.25</v>
      </c>
      <c r="E118" s="2">
        <v>385.92265624999999</v>
      </c>
      <c r="F118" s="2">
        <v>49.581249999999997</v>
      </c>
    </row>
    <row r="119" spans="1:6" x14ac:dyDescent="0.2">
      <c r="A119" t="s">
        <v>132</v>
      </c>
      <c r="B119" t="s">
        <v>9</v>
      </c>
      <c r="C119" s="2">
        <v>11.043749999999999</v>
      </c>
      <c r="D119" s="2">
        <v>12.45</v>
      </c>
      <c r="E119" s="2">
        <v>110.593125</v>
      </c>
      <c r="F119" s="2">
        <v>74.224999999999994</v>
      </c>
    </row>
    <row r="120" spans="1:6" x14ac:dyDescent="0.2">
      <c r="A120" t="s">
        <v>133</v>
      </c>
      <c r="B120" t="s">
        <v>9</v>
      </c>
      <c r="C120" s="2">
        <v>3.0125000000000002</v>
      </c>
      <c r="D120" s="2">
        <v>3.7062499999999998</v>
      </c>
      <c r="E120" s="2">
        <v>68.40325</v>
      </c>
      <c r="F120" s="2">
        <v>80.481250000000003</v>
      </c>
    </row>
    <row r="121" spans="1:6" x14ac:dyDescent="0.2">
      <c r="A121" t="s">
        <v>134</v>
      </c>
      <c r="B121" t="s">
        <v>25</v>
      </c>
      <c r="C121" s="2">
        <v>10.93125</v>
      </c>
      <c r="D121" s="2">
        <v>12.69375</v>
      </c>
      <c r="E121" s="2">
        <v>106.4806875</v>
      </c>
      <c r="F121" s="2">
        <v>74.806250000000006</v>
      </c>
    </row>
    <row r="122" spans="1:6" x14ac:dyDescent="0.2">
      <c r="A122" t="s">
        <v>135</v>
      </c>
      <c r="B122" t="s">
        <v>7</v>
      </c>
      <c r="C122" s="2">
        <v>73.293750000000003</v>
      </c>
      <c r="D122" s="2">
        <v>91.674999999999997</v>
      </c>
      <c r="E122" s="2">
        <v>174.61015624999999</v>
      </c>
      <c r="F122" s="2">
        <v>64.65625</v>
      </c>
    </row>
    <row r="123" spans="1:6" x14ac:dyDescent="0.2">
      <c r="A123" t="s">
        <v>136</v>
      </c>
      <c r="B123" t="s">
        <v>14</v>
      </c>
      <c r="C123" s="2">
        <v>18.243749999999999</v>
      </c>
      <c r="D123" s="2">
        <v>21.431249999999999</v>
      </c>
      <c r="E123" s="2">
        <v>122.19806250000001</v>
      </c>
      <c r="F123" s="2">
        <v>76.375</v>
      </c>
    </row>
    <row r="124" spans="1:6" x14ac:dyDescent="0.2">
      <c r="A124" t="s">
        <v>137</v>
      </c>
      <c r="B124" t="s">
        <v>19</v>
      </c>
      <c r="C124" s="2">
        <v>47.15</v>
      </c>
      <c r="D124" s="2">
        <v>61.306249999999999</v>
      </c>
      <c r="E124" s="2">
        <v>244.97784375000001</v>
      </c>
      <c r="F124" s="2">
        <v>61.293750000000003</v>
      </c>
    </row>
    <row r="125" spans="1:6" x14ac:dyDescent="0.2">
      <c r="A125" t="s">
        <v>138</v>
      </c>
      <c r="B125" t="s">
        <v>16</v>
      </c>
      <c r="C125" s="2">
        <v>23.506250000000001</v>
      </c>
      <c r="D125" s="2">
        <v>28.087499999999999</v>
      </c>
      <c r="E125" s="2">
        <v>156.40859374999999</v>
      </c>
      <c r="F125" s="2">
        <v>72.168750000000003</v>
      </c>
    </row>
    <row r="126" spans="1:6" x14ac:dyDescent="0.2">
      <c r="A126" t="s">
        <v>139</v>
      </c>
      <c r="B126" t="s">
        <v>16</v>
      </c>
      <c r="C126" s="2">
        <v>18.787500000000001</v>
      </c>
      <c r="D126" s="2">
        <v>24.262499999999999</v>
      </c>
      <c r="E126" s="2">
        <v>137.56240625000001</v>
      </c>
      <c r="F126" s="2">
        <v>73.59375</v>
      </c>
    </row>
    <row r="127" spans="1:6" x14ac:dyDescent="0.2">
      <c r="A127" t="s">
        <v>140</v>
      </c>
      <c r="B127" t="s">
        <v>7</v>
      </c>
      <c r="C127" s="2">
        <v>25.737500000000001</v>
      </c>
      <c r="D127" s="2">
        <v>33.168750000000003</v>
      </c>
      <c r="E127" s="2">
        <v>208.37809375000001</v>
      </c>
      <c r="F127" s="2">
        <v>69.537499999999994</v>
      </c>
    </row>
    <row r="128" spans="1:6" x14ac:dyDescent="0.2">
      <c r="A128" t="s">
        <v>141</v>
      </c>
      <c r="B128" t="s">
        <v>21</v>
      </c>
      <c r="C128" s="2">
        <v>5.9187500000000002</v>
      </c>
      <c r="D128" s="2">
        <v>6.84375</v>
      </c>
      <c r="E128" s="2">
        <v>134.7315625</v>
      </c>
      <c r="F128" s="2">
        <v>75.625</v>
      </c>
    </row>
    <row r="129" spans="1:6" x14ac:dyDescent="0.2">
      <c r="A129" t="s">
        <v>142</v>
      </c>
      <c r="B129" t="s">
        <v>21</v>
      </c>
      <c r="C129" s="2">
        <v>3.6375000000000002</v>
      </c>
      <c r="D129" s="2">
        <v>4.5999999999999996</v>
      </c>
      <c r="E129" s="2">
        <v>91.730531249999999</v>
      </c>
      <c r="F129" s="2">
        <v>78.743750000000006</v>
      </c>
    </row>
    <row r="130" spans="1:6" x14ac:dyDescent="0.2">
      <c r="A130" t="s">
        <v>143</v>
      </c>
      <c r="B130" t="s">
        <v>25</v>
      </c>
      <c r="C130" s="2">
        <v>8.4875000000000007</v>
      </c>
      <c r="D130" s="2">
        <v>9.9</v>
      </c>
      <c r="E130" s="2">
        <v>62.404406250000001</v>
      </c>
      <c r="F130" s="2">
        <v>78.662499999999994</v>
      </c>
    </row>
    <row r="131" spans="1:6" x14ac:dyDescent="0.2">
      <c r="A131" t="s">
        <v>144</v>
      </c>
      <c r="B131" t="s">
        <v>21</v>
      </c>
      <c r="C131" s="2">
        <v>12.90625</v>
      </c>
      <c r="D131" s="2">
        <v>15.231249999999999</v>
      </c>
      <c r="E131" s="2">
        <v>153.2338125</v>
      </c>
      <c r="F131" s="2">
        <v>72.881249999999994</v>
      </c>
    </row>
    <row r="132" spans="1:6" x14ac:dyDescent="0.2">
      <c r="A132" t="s">
        <v>145</v>
      </c>
      <c r="B132" t="s">
        <v>9</v>
      </c>
      <c r="C132" s="2">
        <v>10.199999999999999</v>
      </c>
      <c r="D132" s="2">
        <v>12.6875</v>
      </c>
      <c r="E132" s="2">
        <v>272.35246875000001</v>
      </c>
      <c r="F132" s="2">
        <v>67.75</v>
      </c>
    </row>
    <row r="133" spans="1:6" x14ac:dyDescent="0.2">
      <c r="A133" t="s">
        <v>146</v>
      </c>
      <c r="B133" t="s">
        <v>11</v>
      </c>
      <c r="C133" s="2">
        <v>60.075000000000003</v>
      </c>
      <c r="D133" s="2">
        <v>94.412499999999994</v>
      </c>
      <c r="E133" s="2">
        <v>303.88971874999999</v>
      </c>
      <c r="F133" s="2">
        <v>58.95</v>
      </c>
    </row>
    <row r="134" spans="1:6" x14ac:dyDescent="0.2">
      <c r="A134" t="s">
        <v>147</v>
      </c>
      <c r="B134" t="s">
        <v>19</v>
      </c>
      <c r="C134" s="2">
        <v>16.793749999999999</v>
      </c>
      <c r="D134" s="2">
        <v>19.856249999999999</v>
      </c>
      <c r="E134" s="2">
        <v>141.87646874999999</v>
      </c>
      <c r="F134" s="2">
        <v>70.9375</v>
      </c>
    </row>
    <row r="135" spans="1:6" x14ac:dyDescent="0.2">
      <c r="A135" t="s">
        <v>148</v>
      </c>
      <c r="B135" t="s">
        <v>14</v>
      </c>
      <c r="C135" s="2">
        <v>34.368749999999999</v>
      </c>
      <c r="D135" s="2">
        <v>47.887500000000003</v>
      </c>
      <c r="E135" s="2">
        <v>204.09943749999999</v>
      </c>
      <c r="F135" s="2">
        <v>65.84375</v>
      </c>
    </row>
    <row r="136" spans="1:6" x14ac:dyDescent="0.2">
      <c r="A136" t="s">
        <v>149</v>
      </c>
      <c r="B136" t="s">
        <v>25</v>
      </c>
      <c r="C136" s="2">
        <v>12.61875</v>
      </c>
      <c r="D136" s="2">
        <v>14.7</v>
      </c>
      <c r="E136" s="2">
        <v>98.198750000000004</v>
      </c>
      <c r="F136" s="2">
        <v>73.631249999999994</v>
      </c>
    </row>
    <row r="137" spans="1:6" x14ac:dyDescent="0.2">
      <c r="A137" t="s">
        <v>150</v>
      </c>
      <c r="B137" t="s">
        <v>11</v>
      </c>
      <c r="C137" s="2">
        <v>48.96875</v>
      </c>
      <c r="D137" s="2">
        <v>82.356250000000003</v>
      </c>
      <c r="E137" s="2">
        <v>223.85590625</v>
      </c>
      <c r="F137" s="2">
        <v>62.381250000000001</v>
      </c>
    </row>
    <row r="138" spans="1:6" x14ac:dyDescent="0.2">
      <c r="A138" t="s">
        <v>151</v>
      </c>
      <c r="B138" t="s">
        <v>9</v>
      </c>
      <c r="C138" s="2">
        <v>7.5437500000000002</v>
      </c>
      <c r="D138" s="2">
        <v>8.7249999999999996</v>
      </c>
      <c r="E138" s="2">
        <v>134.48193749999999</v>
      </c>
      <c r="F138" s="2">
        <v>73.643749999999997</v>
      </c>
    </row>
    <row r="139" spans="1:6" x14ac:dyDescent="0.2">
      <c r="A139" t="s">
        <v>152</v>
      </c>
      <c r="B139" t="s">
        <v>11</v>
      </c>
      <c r="C139" s="2">
        <v>12.06875</v>
      </c>
      <c r="D139" s="2">
        <v>14.03125</v>
      </c>
      <c r="E139" s="2">
        <v>162.59440624999999</v>
      </c>
      <c r="F139" s="2">
        <v>72.837500000000006</v>
      </c>
    </row>
    <row r="140" spans="1:6" x14ac:dyDescent="0.2">
      <c r="A140" t="s">
        <v>153</v>
      </c>
      <c r="B140" t="s">
        <v>11</v>
      </c>
      <c r="C140" s="2">
        <v>115.71875</v>
      </c>
      <c r="D140" s="2">
        <v>178.72499999999999</v>
      </c>
      <c r="E140" s="2">
        <v>453.049499999999</v>
      </c>
      <c r="F140" s="2">
        <v>46.7</v>
      </c>
    </row>
    <row r="141" spans="1:6" x14ac:dyDescent="0.2">
      <c r="A141" t="s">
        <v>154</v>
      </c>
      <c r="B141" t="s">
        <v>7</v>
      </c>
      <c r="C141" s="2">
        <v>2.3812500000000001</v>
      </c>
      <c r="D141" s="2">
        <v>3</v>
      </c>
      <c r="E141" s="2">
        <v>63.662750000000003</v>
      </c>
      <c r="F141" s="2">
        <v>80.53125</v>
      </c>
    </row>
    <row r="142" spans="1:6" x14ac:dyDescent="0.2">
      <c r="A142" t="s">
        <v>155</v>
      </c>
      <c r="B142" t="s">
        <v>21</v>
      </c>
      <c r="C142" s="2">
        <v>6.3999999999999897</v>
      </c>
      <c r="D142" s="2">
        <v>7.71875</v>
      </c>
      <c r="E142" s="2">
        <v>130.47078124999999</v>
      </c>
      <c r="F142" s="2">
        <v>74.787499999999994</v>
      </c>
    </row>
    <row r="143" spans="1:6" x14ac:dyDescent="0.2">
      <c r="A143" t="s">
        <v>156</v>
      </c>
      <c r="B143" t="s">
        <v>21</v>
      </c>
      <c r="C143" s="2">
        <v>3.1437499999999998</v>
      </c>
      <c r="D143" s="2">
        <v>3.8125</v>
      </c>
      <c r="E143" s="2">
        <v>96.405593749999994</v>
      </c>
      <c r="F143" s="2">
        <v>78.443749999999994</v>
      </c>
    </row>
    <row r="144" spans="1:6" x14ac:dyDescent="0.2">
      <c r="A144" t="s">
        <v>157</v>
      </c>
      <c r="B144" t="s">
        <v>19</v>
      </c>
      <c r="C144" s="2">
        <v>23.03125</v>
      </c>
      <c r="D144" s="2">
        <v>27.456250000000001</v>
      </c>
      <c r="E144" s="2">
        <v>184.09934375</v>
      </c>
      <c r="F144" s="2">
        <v>69.900000000000006</v>
      </c>
    </row>
    <row r="145" spans="1:6" x14ac:dyDescent="0.2">
      <c r="A145" t="s">
        <v>158</v>
      </c>
      <c r="B145" t="s">
        <v>11</v>
      </c>
      <c r="C145" s="2">
        <v>98.256249999999994</v>
      </c>
      <c r="D145" s="2">
        <v>161.26875000000001</v>
      </c>
      <c r="E145" s="2">
        <v>333.185124999999</v>
      </c>
      <c r="F145" s="2">
        <v>53.243749999999999</v>
      </c>
    </row>
    <row r="146" spans="1:6" x14ac:dyDescent="0.2">
      <c r="A146" t="s">
        <v>159</v>
      </c>
      <c r="B146" t="s">
        <v>11</v>
      </c>
      <c r="C146" s="2">
        <v>40.806249999999999</v>
      </c>
      <c r="D146" s="2">
        <v>61.693750000000001</v>
      </c>
      <c r="E146" s="2">
        <v>454.711593749999</v>
      </c>
      <c r="F146" s="2">
        <v>56.78125</v>
      </c>
    </row>
    <row r="147" spans="1:6" x14ac:dyDescent="0.2">
      <c r="A147" t="s">
        <v>160</v>
      </c>
      <c r="B147" t="s">
        <v>21</v>
      </c>
      <c r="C147" s="2">
        <v>3.5</v>
      </c>
      <c r="D147" s="2">
        <v>4.3</v>
      </c>
      <c r="E147" s="2">
        <v>70.445781249999996</v>
      </c>
      <c r="F147" s="2">
        <v>81.106250000000003</v>
      </c>
    </row>
    <row r="148" spans="1:6" x14ac:dyDescent="0.2">
      <c r="A148" t="s">
        <v>161</v>
      </c>
      <c r="B148" t="s">
        <v>7</v>
      </c>
      <c r="C148" s="2">
        <v>11.44375</v>
      </c>
      <c r="D148" s="2">
        <v>14.15625</v>
      </c>
      <c r="E148" s="2">
        <v>128.38568749999999</v>
      </c>
      <c r="F148" s="2">
        <v>74.6875</v>
      </c>
    </row>
    <row r="149" spans="1:6" x14ac:dyDescent="0.2">
      <c r="A149" t="s">
        <v>162</v>
      </c>
      <c r="B149" t="s">
        <v>14</v>
      </c>
      <c r="C149" s="2">
        <v>16.899999999999999</v>
      </c>
      <c r="D149" s="2">
        <v>19.368749999999999</v>
      </c>
      <c r="E149" s="2">
        <v>153.76909375</v>
      </c>
      <c r="F149" s="2">
        <v>74.474999999999994</v>
      </c>
    </row>
    <row r="150" spans="1:6" x14ac:dyDescent="0.2">
      <c r="A150" t="s">
        <v>163</v>
      </c>
      <c r="B150" t="s">
        <v>14</v>
      </c>
      <c r="C150" s="2">
        <v>17.96875</v>
      </c>
      <c r="D150" s="2">
        <v>20.262499999999999</v>
      </c>
      <c r="E150" s="2">
        <v>168.21712500000001</v>
      </c>
      <c r="F150" s="2">
        <v>71.506249999999994</v>
      </c>
    </row>
    <row r="151" spans="1:6" x14ac:dyDescent="0.2">
      <c r="A151" t="s">
        <v>164</v>
      </c>
      <c r="B151" t="s">
        <v>16</v>
      </c>
      <c r="C151" s="2">
        <v>22.28125</v>
      </c>
      <c r="D151" s="2">
        <v>25.087499999999999</v>
      </c>
      <c r="E151" s="2">
        <v>189.63271875000001</v>
      </c>
      <c r="F151" s="2">
        <v>69.618750000000006</v>
      </c>
    </row>
    <row r="152" spans="1:6" x14ac:dyDescent="0.2">
      <c r="A152" t="s">
        <v>165</v>
      </c>
      <c r="B152" t="s">
        <v>21</v>
      </c>
      <c r="C152" s="2">
        <v>2.7875000000000001</v>
      </c>
      <c r="D152" s="2">
        <v>3.3875000000000002</v>
      </c>
      <c r="E152" s="2">
        <v>62.071031249999997</v>
      </c>
      <c r="F152" s="2">
        <v>80.993750000000006</v>
      </c>
    </row>
    <row r="153" spans="1:6" x14ac:dyDescent="0.2">
      <c r="A153" t="s">
        <v>166</v>
      </c>
      <c r="B153" t="s">
        <v>9</v>
      </c>
      <c r="C153" s="2">
        <v>4.1375000000000002</v>
      </c>
      <c r="D153" s="2">
        <v>4.8499999999999996</v>
      </c>
      <c r="E153" s="2">
        <v>61.564500000000002</v>
      </c>
      <c r="F153" s="2">
        <v>81.674999999999997</v>
      </c>
    </row>
    <row r="154" spans="1:6" x14ac:dyDescent="0.2">
      <c r="A154" t="s">
        <v>167</v>
      </c>
      <c r="B154" t="s">
        <v>25</v>
      </c>
      <c r="C154" s="2">
        <v>19.368749999999999</v>
      </c>
      <c r="D154" s="2">
        <v>25.8125</v>
      </c>
      <c r="E154" s="2">
        <v>142.97812500000001</v>
      </c>
      <c r="F154" s="2">
        <v>72.606250000000003</v>
      </c>
    </row>
    <row r="155" spans="1:6" x14ac:dyDescent="0.2">
      <c r="A155" t="s">
        <v>168</v>
      </c>
      <c r="B155" t="s">
        <v>7</v>
      </c>
      <c r="C155" s="2">
        <v>44.5</v>
      </c>
      <c r="D155" s="2">
        <v>52.731250000000003</v>
      </c>
      <c r="E155" s="2">
        <v>152.35234374999999</v>
      </c>
      <c r="F155" s="2">
        <v>66.974999999999994</v>
      </c>
    </row>
    <row r="156" spans="1:6" x14ac:dyDescent="0.2">
      <c r="A156" t="s">
        <v>169</v>
      </c>
      <c r="B156" t="s">
        <v>11</v>
      </c>
      <c r="C156" s="2">
        <v>55</v>
      </c>
      <c r="D156" s="2">
        <v>86.237499999999997</v>
      </c>
      <c r="E156" s="2">
        <v>354.29124999999999</v>
      </c>
      <c r="F156" s="2">
        <v>56.625</v>
      </c>
    </row>
    <row r="157" spans="1:6" x14ac:dyDescent="0.2">
      <c r="A157" t="s">
        <v>170</v>
      </c>
      <c r="B157" t="s">
        <v>7</v>
      </c>
      <c r="C157" s="2">
        <v>13.45</v>
      </c>
      <c r="D157" s="2">
        <v>15.68125</v>
      </c>
      <c r="E157" s="2">
        <v>171.15040625</v>
      </c>
      <c r="F157" s="2">
        <v>73.2</v>
      </c>
    </row>
    <row r="158" spans="1:6" x14ac:dyDescent="0.2">
      <c r="A158" t="s">
        <v>171</v>
      </c>
      <c r="B158" t="s">
        <v>19</v>
      </c>
      <c r="C158" s="2">
        <v>60.106249999999903</v>
      </c>
      <c r="D158" s="2">
        <v>73.581249999999997</v>
      </c>
      <c r="E158" s="2">
        <v>192.32203125000001</v>
      </c>
      <c r="F158" s="2">
        <v>64.943749999999994</v>
      </c>
    </row>
    <row r="159" spans="1:6" x14ac:dyDescent="0.2">
      <c r="A159" t="s">
        <v>172</v>
      </c>
      <c r="B159" t="s">
        <v>11</v>
      </c>
      <c r="C159" s="2">
        <v>62.5625</v>
      </c>
      <c r="D159" s="2">
        <v>96.587500000000006</v>
      </c>
      <c r="E159" s="2">
        <v>311.29118749999998</v>
      </c>
      <c r="F159" s="2">
        <v>56.262500000000003</v>
      </c>
    </row>
    <row r="160" spans="1:6" x14ac:dyDescent="0.2">
      <c r="A160" t="s">
        <v>173</v>
      </c>
      <c r="B160" t="s">
        <v>19</v>
      </c>
      <c r="C160" s="2">
        <v>12.1875</v>
      </c>
      <c r="D160" s="2">
        <v>14.1625</v>
      </c>
      <c r="E160" s="2">
        <v>146.21415625</v>
      </c>
      <c r="F160" s="2">
        <v>69.993750000000006</v>
      </c>
    </row>
    <row r="161" spans="1:6" x14ac:dyDescent="0.2">
      <c r="A161" t="s">
        <v>174</v>
      </c>
      <c r="B161" t="s">
        <v>14</v>
      </c>
      <c r="C161" s="2">
        <v>21.368749999999999</v>
      </c>
      <c r="D161" s="2">
        <v>24.012499999999999</v>
      </c>
      <c r="E161" s="2">
        <v>181.46771874999999</v>
      </c>
      <c r="F161" s="2">
        <v>71.28125</v>
      </c>
    </row>
    <row r="162" spans="1:6" x14ac:dyDescent="0.2">
      <c r="A162" t="s">
        <v>175</v>
      </c>
      <c r="B162" t="s">
        <v>11</v>
      </c>
      <c r="C162" s="2">
        <v>18.05</v>
      </c>
      <c r="D162" s="2">
        <v>21.206250000000001</v>
      </c>
      <c r="E162" s="2">
        <v>101.3611875</v>
      </c>
      <c r="F162" s="2">
        <v>74.599999999999994</v>
      </c>
    </row>
    <row r="163" spans="1:6" x14ac:dyDescent="0.2">
      <c r="A163" t="s">
        <v>176</v>
      </c>
      <c r="B163" t="s">
        <v>25</v>
      </c>
      <c r="C163" s="2">
        <v>19.462499999999999</v>
      </c>
      <c r="D163" s="2">
        <v>23.137499999999999</v>
      </c>
      <c r="E163" s="2">
        <v>123.14449999999999</v>
      </c>
      <c r="F163" s="2">
        <v>73.418750000000003</v>
      </c>
    </row>
    <row r="164" spans="1:6" x14ac:dyDescent="0.2">
      <c r="A164" t="s">
        <v>177</v>
      </c>
      <c r="B164" t="s">
        <v>7</v>
      </c>
      <c r="C164" s="2">
        <v>42.725000000000001</v>
      </c>
      <c r="D164" s="2">
        <v>50.268749999999997</v>
      </c>
      <c r="E164" s="2">
        <v>210.74481249999999</v>
      </c>
      <c r="F164" s="2">
        <v>65.787499999999994</v>
      </c>
    </row>
    <row r="165" spans="1:6" x14ac:dyDescent="0.2">
      <c r="A165" t="s">
        <v>178</v>
      </c>
      <c r="B165" t="s">
        <v>11</v>
      </c>
      <c r="C165" s="2">
        <v>59.3</v>
      </c>
      <c r="D165" s="2">
        <v>94.674999999999997</v>
      </c>
      <c r="E165" s="2">
        <v>406.42153124999999</v>
      </c>
      <c r="F165" s="2">
        <v>54.212499999999999</v>
      </c>
    </row>
    <row r="166" spans="1:6" x14ac:dyDescent="0.2">
      <c r="A166" t="s">
        <v>179</v>
      </c>
      <c r="B166" t="s">
        <v>9</v>
      </c>
      <c r="C166" s="2">
        <v>11.46875</v>
      </c>
      <c r="D166" s="2">
        <v>13.3375</v>
      </c>
      <c r="E166" s="2">
        <v>240.37337500000001</v>
      </c>
      <c r="F166" s="2">
        <v>69.224999999999994</v>
      </c>
    </row>
    <row r="167" spans="1:6" x14ac:dyDescent="0.2">
      <c r="A167" t="s">
        <v>180</v>
      </c>
      <c r="B167" t="s">
        <v>25</v>
      </c>
      <c r="C167" s="2">
        <v>7.9562499999999998</v>
      </c>
      <c r="D167" s="2">
        <v>9.2874999999999996</v>
      </c>
      <c r="E167" s="2">
        <v>80.410656250000002</v>
      </c>
      <c r="F167" s="2">
        <v>75.84375</v>
      </c>
    </row>
    <row r="168" spans="1:6" x14ac:dyDescent="0.2">
      <c r="A168" t="s">
        <v>181</v>
      </c>
      <c r="B168" t="s">
        <v>9</v>
      </c>
      <c r="C168" s="2">
        <v>4.7437500000000004</v>
      </c>
      <c r="D168" s="2">
        <v>5.5562500000000004</v>
      </c>
      <c r="E168" s="2">
        <v>77.52553125</v>
      </c>
      <c r="F168" s="2">
        <v>79.612499999999997</v>
      </c>
    </row>
    <row r="169" spans="1:6" x14ac:dyDescent="0.2">
      <c r="A169" t="s">
        <v>182</v>
      </c>
      <c r="B169" t="s">
        <v>44</v>
      </c>
      <c r="C169" s="2">
        <v>6.4749999999999996</v>
      </c>
      <c r="D169" s="2">
        <v>7.6312499999999996</v>
      </c>
      <c r="E169" s="2">
        <v>109.06359375</v>
      </c>
      <c r="F169" s="2">
        <v>77.900000000000006</v>
      </c>
    </row>
    <row r="170" spans="1:6" x14ac:dyDescent="0.2">
      <c r="A170" t="s">
        <v>183</v>
      </c>
      <c r="B170" t="s">
        <v>16</v>
      </c>
      <c r="C170" s="2">
        <v>11.00625</v>
      </c>
      <c r="D170" s="2">
        <v>12.68125</v>
      </c>
      <c r="E170" s="2">
        <v>114.95106250000001</v>
      </c>
      <c r="F170" s="2">
        <v>76.206249999999997</v>
      </c>
    </row>
    <row r="171" spans="1:6" x14ac:dyDescent="0.2">
      <c r="A171" t="s">
        <v>184</v>
      </c>
      <c r="B171" t="s">
        <v>7</v>
      </c>
      <c r="C171" s="2">
        <v>32.256250000000001</v>
      </c>
      <c r="D171" s="2">
        <v>37.318750000000001</v>
      </c>
      <c r="E171" s="2">
        <v>167.89690625</v>
      </c>
      <c r="F171" s="2">
        <v>69.037499999999994</v>
      </c>
    </row>
    <row r="172" spans="1:6" x14ac:dyDescent="0.2">
      <c r="A172" t="s">
        <v>185</v>
      </c>
      <c r="B172" t="s">
        <v>19</v>
      </c>
      <c r="C172" s="2">
        <v>23.95</v>
      </c>
      <c r="D172" s="2">
        <v>28.618749999999999</v>
      </c>
      <c r="E172" s="2">
        <v>153.71478124999999</v>
      </c>
      <c r="F172" s="2">
        <v>68.712500000000006</v>
      </c>
    </row>
    <row r="173" spans="1:6" x14ac:dyDescent="0.2">
      <c r="A173" t="s">
        <v>186</v>
      </c>
      <c r="B173" t="s">
        <v>16</v>
      </c>
      <c r="C173" s="2">
        <v>15.85</v>
      </c>
      <c r="D173" s="2">
        <v>18.5</v>
      </c>
      <c r="E173" s="2">
        <v>151.05615624999999</v>
      </c>
      <c r="F173" s="2">
        <v>72.793750000000003</v>
      </c>
    </row>
    <row r="174" spans="1:6" x14ac:dyDescent="0.2">
      <c r="A174" t="s">
        <v>187</v>
      </c>
      <c r="B174" t="s">
        <v>7</v>
      </c>
      <c r="C174" s="2">
        <v>19.5</v>
      </c>
      <c r="D174" s="2">
        <v>24.474999999999898</v>
      </c>
      <c r="E174" s="2">
        <v>133.05440625</v>
      </c>
      <c r="F174" s="2">
        <v>74.331249999999997</v>
      </c>
    </row>
    <row r="175" spans="1:6" x14ac:dyDescent="0.2">
      <c r="A175" t="s">
        <v>188</v>
      </c>
      <c r="B175" t="s">
        <v>25</v>
      </c>
      <c r="C175" s="2">
        <v>52.443750000000001</v>
      </c>
      <c r="D175" s="2">
        <v>69.575000000000003</v>
      </c>
      <c r="E175" s="2">
        <v>239.65393749999899</v>
      </c>
      <c r="F175" s="2">
        <v>64.162499999999994</v>
      </c>
    </row>
    <row r="176" spans="1:6" x14ac:dyDescent="0.2">
      <c r="A176" t="s">
        <v>189</v>
      </c>
      <c r="B176" t="s">
        <v>11</v>
      </c>
      <c r="C176" s="2">
        <v>60.581249999999997</v>
      </c>
      <c r="D176" s="2">
        <v>99.206249999999997</v>
      </c>
      <c r="E176" s="2">
        <v>452.76121875000001</v>
      </c>
      <c r="F176" s="2">
        <v>52.331249999999997</v>
      </c>
    </row>
    <row r="177" spans="1:6" x14ac:dyDescent="0.2">
      <c r="A177" t="s">
        <v>190</v>
      </c>
      <c r="B177" t="s">
        <v>11</v>
      </c>
      <c r="C177" s="2">
        <v>50.168750000000003</v>
      </c>
      <c r="D177" s="2">
        <v>85.325000000000003</v>
      </c>
      <c r="E177" s="2">
        <v>572.9743125</v>
      </c>
      <c r="F177" s="2">
        <v>48.662500000000001</v>
      </c>
    </row>
  </sheetData>
  <autoFilter ref="A1:F177" xr:uid="{CF4F3F4B-9DF4-4454-B779-2A65285A5A69}"/>
  <mergeCells count="4">
    <mergeCell ref="P8:Q10"/>
    <mergeCell ref="J6:AB6"/>
    <mergeCell ref="J7:AB7"/>
    <mergeCell ref="J8:O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5F7A-3281-6341-8E6D-DFAA65993723}">
  <dimension ref="A3:F35"/>
  <sheetViews>
    <sheetView tabSelected="1" zoomScale="99" workbookViewId="0">
      <selection activeCell="B29" sqref="B29"/>
    </sheetView>
  </sheetViews>
  <sheetFormatPr baseColWidth="10" defaultRowHeight="15" x14ac:dyDescent="0.2"/>
  <cols>
    <col min="1" max="1" width="24" bestFit="1" customWidth="1"/>
    <col min="2" max="2" width="21.83203125" bestFit="1" customWidth="1"/>
    <col min="3" max="3" width="20.1640625" bestFit="1" customWidth="1"/>
    <col min="4" max="4" width="22.1640625" bestFit="1" customWidth="1"/>
  </cols>
  <sheetData>
    <row r="3" spans="1:4" x14ac:dyDescent="0.2">
      <c r="A3" s="13" t="s">
        <v>205</v>
      </c>
      <c r="B3" t="s">
        <v>209</v>
      </c>
      <c r="C3" t="s">
        <v>208</v>
      </c>
      <c r="D3" t="s">
        <v>207</v>
      </c>
    </row>
    <row r="4" spans="1:4" x14ac:dyDescent="0.2">
      <c r="A4" s="14" t="s">
        <v>11</v>
      </c>
      <c r="B4" s="15">
        <v>320.03223312499989</v>
      </c>
      <c r="C4" s="15">
        <v>60.795000000000009</v>
      </c>
      <c r="D4" s="15">
        <v>57.80749999999999</v>
      </c>
    </row>
    <row r="5" spans="1:4" x14ac:dyDescent="0.2">
      <c r="A5" s="14" t="s">
        <v>7</v>
      </c>
      <c r="B5" s="15">
        <v>172.05339302884616</v>
      </c>
      <c r="C5" s="15">
        <v>32.056730769230775</v>
      </c>
      <c r="D5" s="15">
        <v>69.482932692307685</v>
      </c>
    </row>
    <row r="6" spans="1:4" x14ac:dyDescent="0.2">
      <c r="A6" s="14" t="s">
        <v>14</v>
      </c>
      <c r="B6" s="15">
        <v>163.58116940789478</v>
      </c>
      <c r="C6" s="15">
        <v>20.965460526315784</v>
      </c>
      <c r="D6" s="15">
        <v>72.437499999999986</v>
      </c>
    </row>
    <row r="7" spans="1:4" x14ac:dyDescent="0.2">
      <c r="A7" s="14" t="s">
        <v>21</v>
      </c>
      <c r="B7" s="15">
        <v>104.39539236111113</v>
      </c>
      <c r="C7" s="15">
        <v>4.8722222222222218</v>
      </c>
      <c r="D7" s="15">
        <v>77.715046296296279</v>
      </c>
    </row>
    <row r="8" spans="1:4" x14ac:dyDescent="0.2">
      <c r="A8" s="14" t="s">
        <v>25</v>
      </c>
      <c r="B8" s="15">
        <v>106.39039903846148</v>
      </c>
      <c r="C8" s="15">
        <v>15.577884615384617</v>
      </c>
      <c r="D8" s="15">
        <v>74.375000000000014</v>
      </c>
    </row>
    <row r="9" spans="1:4" x14ac:dyDescent="0.2">
      <c r="A9" s="14" t="s">
        <v>44</v>
      </c>
      <c r="B9" s="15">
        <v>100.69384375</v>
      </c>
      <c r="C9" s="15">
        <v>9.9249999999999989</v>
      </c>
      <c r="D9" s="15">
        <v>77.841666666666669</v>
      </c>
    </row>
    <row r="10" spans="1:4" x14ac:dyDescent="0.2">
      <c r="A10" s="14" t="s">
        <v>19</v>
      </c>
      <c r="B10" s="15">
        <v>162.88680113636354</v>
      </c>
      <c r="C10" s="15">
        <v>26.305113636363625</v>
      </c>
      <c r="D10" s="15">
        <v>69.517613636363635</v>
      </c>
    </row>
    <row r="11" spans="1:4" x14ac:dyDescent="0.2">
      <c r="A11" s="14" t="s">
        <v>9</v>
      </c>
      <c r="B11" s="15">
        <v>138.58285624999994</v>
      </c>
      <c r="C11" s="15">
        <v>9.6279166666666658</v>
      </c>
      <c r="D11" s="15">
        <v>74.525416666666658</v>
      </c>
    </row>
    <row r="12" spans="1:4" x14ac:dyDescent="0.2">
      <c r="A12" s="14" t="s">
        <v>16</v>
      </c>
      <c r="B12" s="15">
        <v>155.27532552083335</v>
      </c>
      <c r="C12" s="15">
        <v>19.953645833333329</v>
      </c>
      <c r="D12" s="15">
        <v>72.78072916666666</v>
      </c>
    </row>
    <row r="13" spans="1:4" x14ac:dyDescent="0.2">
      <c r="A13" s="14" t="s">
        <v>206</v>
      </c>
      <c r="B13" s="15">
        <v>192.16293164062489</v>
      </c>
      <c r="C13" s="15">
        <v>30.162642045454525</v>
      </c>
      <c r="D13" s="15">
        <v>68.908487215909119</v>
      </c>
    </row>
    <row r="25" spans="1:6" x14ac:dyDescent="0.2">
      <c r="A25" s="19" t="s">
        <v>214</v>
      </c>
    </row>
    <row r="26" spans="1:6" x14ac:dyDescent="0.2">
      <c r="A26" s="17"/>
      <c r="B26" s="17"/>
      <c r="C26" s="17"/>
      <c r="D26" s="17"/>
      <c r="E26" s="17"/>
      <c r="F26" s="17"/>
    </row>
    <row r="27" spans="1:6" ht="19" x14ac:dyDescent="0.25">
      <c r="A27" s="18" t="s">
        <v>210</v>
      </c>
      <c r="B27" s="17"/>
      <c r="C27" s="17"/>
      <c r="D27" s="17"/>
      <c r="E27" s="17"/>
      <c r="F27" s="17"/>
    </row>
    <row r="28" spans="1:6" x14ac:dyDescent="0.2">
      <c r="B28" s="17"/>
      <c r="C28" s="17"/>
      <c r="D28" s="17"/>
      <c r="E28" s="17"/>
      <c r="F28" s="17"/>
    </row>
    <row r="29" spans="1:6" x14ac:dyDescent="0.2">
      <c r="A29" s="19" t="s">
        <v>211</v>
      </c>
      <c r="B29" s="17"/>
      <c r="C29" s="17"/>
      <c r="D29" s="17"/>
      <c r="E29" s="17"/>
      <c r="F29" s="17"/>
    </row>
    <row r="30" spans="1:6" x14ac:dyDescent="0.2">
      <c r="B30" s="17"/>
      <c r="C30" s="17"/>
      <c r="D30" s="17"/>
      <c r="E30" s="17"/>
      <c r="F30" s="17"/>
    </row>
    <row r="31" spans="1:6" x14ac:dyDescent="0.2">
      <c r="B31" s="17"/>
      <c r="C31" s="17"/>
      <c r="D31" s="17"/>
      <c r="E31" s="17"/>
      <c r="F31" s="17"/>
    </row>
    <row r="32" spans="1:6" x14ac:dyDescent="0.2">
      <c r="B32" s="17"/>
      <c r="C32" s="17"/>
      <c r="D32" s="17"/>
      <c r="E32" s="17"/>
      <c r="F32" s="17"/>
    </row>
    <row r="33" spans="1:6" ht="19" x14ac:dyDescent="0.25">
      <c r="A33" s="18" t="s">
        <v>212</v>
      </c>
      <c r="B33" s="17"/>
      <c r="C33" s="17"/>
      <c r="D33" s="17"/>
      <c r="E33" s="17"/>
      <c r="F33" s="17"/>
    </row>
    <row r="35" spans="1:6" x14ac:dyDescent="0.2">
      <c r="A35" s="19" t="s">
        <v>213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Life-Expectancy-Data-Averaged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Thy Nguyễn Ngọc Nhã</cp:lastModifiedBy>
  <dcterms:created xsi:type="dcterms:W3CDTF">2024-12-20T02:25:52Z</dcterms:created>
  <dcterms:modified xsi:type="dcterms:W3CDTF">2026-01-29T14:18:27Z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2025-04-02T03:17:47Z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0d5f3e43-23a8-4a49-ae94-00ca286a0b61</vt:lpwstr>
  </property>
  <property fmtid="{D5CDD505-2E9C-101B-9397-08002B2CF9AE}" pid="7" name="MSIP_Label_defa4170-0d19-0005-0004-bc88714345d2_ActionId">
    <vt:lpwstr>faf544d6-677c-4d75-baed-36480e93f090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